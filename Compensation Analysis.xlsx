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enk\Documents\"/>
    </mc:Choice>
  </mc:AlternateContent>
  <xr:revisionPtr revIDLastSave="0" documentId="13_ncr:1_{E242E65F-71F2-4447-BEF2-A939953D3930}" xr6:coauthVersionLast="47" xr6:coauthVersionMax="47" xr10:uidLastSave="{00000000-0000-0000-0000-000000000000}"/>
  <bookViews>
    <workbookView xWindow="-108" yWindow="-108" windowWidth="23256" windowHeight="12456" xr2:uid="{389457D6-12F6-46F7-A2F6-55297DC36BD8}"/>
  </bookViews>
  <sheets>
    <sheet name="Merit_Impact_Summary" sheetId="11" r:id="rId1"/>
    <sheet name="Merit_Budget_Summary" sheetId="10" r:id="rId2"/>
    <sheet name="Pay_Equity_Summary" sheetId="8" r:id="rId3"/>
    <sheet name="Employee_Compensation_Analysis" sheetId="6" r:id="rId4"/>
    <sheet name="Market_Salary_Benchmarks" sheetId="3" r:id="rId5"/>
    <sheet name="Job_Matching" sheetId="5" r:id="rId6"/>
    <sheet name="JobArchitecture_LevelingRation" sheetId="2" r:id="rId7"/>
    <sheet name="Market_Data_Methodology" sheetId="4" r:id="rId8"/>
    <sheet name="Merit_Matrix" sheetId="9" r:id="rId9"/>
  </sheets>
  <definedNames>
    <definedName name="_xlnm._FilterDatabase" localSheetId="3" hidden="1">Employee_Compensation_Analysis!$A$2:$M$202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1" l="1"/>
  <c r="D16" i="11"/>
  <c r="C16" i="11"/>
  <c r="B3" i="10"/>
  <c r="B5" i="10" s="1"/>
  <c r="B19" i="11" s="1"/>
  <c r="Y4" i="6"/>
  <c r="Y5" i="6"/>
  <c r="AA5" i="6" s="1" a="1"/>
  <c r="AA5" i="6" s="1"/>
  <c r="AB5" i="6" s="1"/>
  <c r="AC5" i="6" s="1"/>
  <c r="Y6" i="6"/>
  <c r="Y7" i="6"/>
  <c r="Y8" i="6"/>
  <c r="Y9" i="6"/>
  <c r="Y10" i="6"/>
  <c r="Y11" i="6"/>
  <c r="Y12" i="6"/>
  <c r="Y13" i="6"/>
  <c r="AA13" i="6" s="1" a="1"/>
  <c r="AA13" i="6" s="1"/>
  <c r="AB13" i="6" s="1"/>
  <c r="AC13" i="6" s="1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AA27" i="6" s="1" a="1"/>
  <c r="AA27" i="6" s="1"/>
  <c r="AB27" i="6" s="1"/>
  <c r="AC27" i="6" s="1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AA43" i="6" s="1" a="1"/>
  <c r="AA43" i="6" s="1"/>
  <c r="AB43" i="6" s="1"/>
  <c r="AC43" i="6" s="1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AA61" i="6" s="1" a="1"/>
  <c r="AA61" i="6" s="1"/>
  <c r="AB61" i="6" s="1"/>
  <c r="AC61" i="6" s="1"/>
  <c r="AE61" i="6" s="1"/>
  <c r="Y62" i="6"/>
  <c r="Y63" i="6"/>
  <c r="Y64" i="6"/>
  <c r="AA64" i="6" s="1" a="1"/>
  <c r="AA64" i="6" s="1"/>
  <c r="AB64" i="6" s="1"/>
  <c r="AC64" i="6" s="1"/>
  <c r="Y65" i="6"/>
  <c r="Y66" i="6"/>
  <c r="Y67" i="6"/>
  <c r="Y68" i="6"/>
  <c r="Y69" i="6"/>
  <c r="Y70" i="6"/>
  <c r="AA70" i="6" s="1" a="1"/>
  <c r="AA70" i="6" s="1"/>
  <c r="AB70" i="6" s="1"/>
  <c r="AC70" i="6" s="1"/>
  <c r="Y71" i="6"/>
  <c r="Y72" i="6"/>
  <c r="Y73" i="6"/>
  <c r="Y74" i="6"/>
  <c r="Y75" i="6"/>
  <c r="Y76" i="6"/>
  <c r="Y77" i="6"/>
  <c r="AA77" i="6" s="1" a="1"/>
  <c r="AA77" i="6" s="1"/>
  <c r="AB77" i="6" s="1"/>
  <c r="AC77" i="6" s="1"/>
  <c r="Y78" i="6"/>
  <c r="Y79" i="6"/>
  <c r="Y80" i="6"/>
  <c r="Y81" i="6"/>
  <c r="Y82" i="6"/>
  <c r="Y83" i="6"/>
  <c r="Y84" i="6"/>
  <c r="Y85" i="6"/>
  <c r="AA85" i="6" s="1" a="1"/>
  <c r="AA85" i="6" s="1"/>
  <c r="AB85" i="6" s="1"/>
  <c r="AC85" i="6" s="1"/>
  <c r="Y86" i="6"/>
  <c r="Y87" i="6"/>
  <c r="AA87" i="6" s="1" a="1"/>
  <c r="AA87" i="6" s="1"/>
  <c r="AB87" i="6" s="1"/>
  <c r="AC87" i="6" s="1"/>
  <c r="Y88" i="6"/>
  <c r="Y89" i="6"/>
  <c r="Y90" i="6"/>
  <c r="AA90" i="6" s="1" a="1"/>
  <c r="AA90" i="6" s="1"/>
  <c r="AB90" i="6" s="1"/>
  <c r="AC90" i="6" s="1"/>
  <c r="Y91" i="6"/>
  <c r="AA91" i="6" s="1" a="1"/>
  <c r="AA91" i="6" s="1"/>
  <c r="AB91" i="6" s="1"/>
  <c r="AC91" i="6" s="1"/>
  <c r="Y92" i="6"/>
  <c r="Y93" i="6"/>
  <c r="Y94" i="6"/>
  <c r="Y95" i="6"/>
  <c r="AA95" i="6" s="1" a="1"/>
  <c r="AA95" i="6" s="1"/>
  <c r="AB95" i="6" s="1"/>
  <c r="AC95" i="6" s="1"/>
  <c r="Y96" i="6"/>
  <c r="Y97" i="6"/>
  <c r="Y98" i="6"/>
  <c r="Y99" i="6"/>
  <c r="Y100" i="6"/>
  <c r="Y101" i="6"/>
  <c r="Y102" i="6"/>
  <c r="Y103" i="6"/>
  <c r="Y104" i="6"/>
  <c r="Y105" i="6"/>
  <c r="Y106" i="6"/>
  <c r="Y107" i="6"/>
  <c r="AA107" i="6" s="1" a="1"/>
  <c r="AA107" i="6" s="1"/>
  <c r="AB107" i="6" s="1"/>
  <c r="AC107" i="6" s="1"/>
  <c r="Y108" i="6"/>
  <c r="Y109" i="6"/>
  <c r="Y110" i="6"/>
  <c r="Y111" i="6"/>
  <c r="AA111" i="6" s="1" a="1"/>
  <c r="AA111" i="6" s="1"/>
  <c r="AB111" i="6" s="1"/>
  <c r="AC111" i="6" s="1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AA125" i="6" s="1" a="1"/>
  <c r="AA125" i="6" s="1"/>
  <c r="AB125" i="6" s="1"/>
  <c r="AC125" i="6" s="1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AA159" i="6" s="1" a="1"/>
  <c r="AA159" i="6" s="1"/>
  <c r="AB159" i="6" s="1"/>
  <c r="AC159" i="6" s="1"/>
  <c r="Y160" i="6"/>
  <c r="Y161" i="6"/>
  <c r="Y162" i="6"/>
  <c r="Y163" i="6"/>
  <c r="Y164" i="6"/>
  <c r="Y165" i="6"/>
  <c r="Y166" i="6"/>
  <c r="Y167" i="6"/>
  <c r="AA167" i="6" s="1" a="1"/>
  <c r="AA167" i="6" s="1"/>
  <c r="AB167" i="6" s="1"/>
  <c r="AC167" i="6" s="1"/>
  <c r="Y168" i="6"/>
  <c r="Y169" i="6"/>
  <c r="AA169" i="6" s="1" a="1"/>
  <c r="AA169" i="6" s="1"/>
  <c r="AB169" i="6" s="1"/>
  <c r="AC169" i="6" s="1"/>
  <c r="Y170" i="6"/>
  <c r="Y171" i="6"/>
  <c r="Y172" i="6"/>
  <c r="Y173" i="6"/>
  <c r="Y174" i="6"/>
  <c r="AA174" i="6" s="1" a="1"/>
  <c r="AA174" i="6" s="1"/>
  <c r="AB174" i="6" s="1"/>
  <c r="AC174" i="6" s="1"/>
  <c r="Y175" i="6"/>
  <c r="Y176" i="6"/>
  <c r="Y177" i="6"/>
  <c r="Y178" i="6"/>
  <c r="Y179" i="6"/>
  <c r="Y180" i="6"/>
  <c r="AA180" i="6" s="1" a="1"/>
  <c r="AA180" i="6" s="1"/>
  <c r="AB180" i="6" s="1"/>
  <c r="AC180" i="6" s="1"/>
  <c r="Y181" i="6"/>
  <c r="AA181" i="6" s="1" a="1"/>
  <c r="AA181" i="6" s="1"/>
  <c r="AB181" i="6" s="1"/>
  <c r="AC181" i="6" s="1"/>
  <c r="AE181" i="6" s="1"/>
  <c r="Y182" i="6"/>
  <c r="Y183" i="6"/>
  <c r="AA183" i="6" s="1" a="1"/>
  <c r="AA183" i="6" s="1"/>
  <c r="AB183" i="6" s="1"/>
  <c r="AC183" i="6" s="1"/>
  <c r="Y184" i="6"/>
  <c r="Y185" i="6"/>
  <c r="Y186" i="6"/>
  <c r="Y187" i="6"/>
  <c r="Y188" i="6"/>
  <c r="Y189" i="6"/>
  <c r="Y190" i="6"/>
  <c r="Y191" i="6"/>
  <c r="AA191" i="6" s="1" a="1"/>
  <c r="AA191" i="6" s="1"/>
  <c r="AB191" i="6" s="1"/>
  <c r="AC191" i="6" s="1"/>
  <c r="Y192" i="6"/>
  <c r="AA192" i="6" s="1" a="1"/>
  <c r="AA192" i="6" s="1"/>
  <c r="AB192" i="6" s="1"/>
  <c r="AC192" i="6" s="1"/>
  <c r="Y193" i="6"/>
  <c r="Y194" i="6"/>
  <c r="Y195" i="6"/>
  <c r="Y196" i="6"/>
  <c r="Y197" i="6"/>
  <c r="Y198" i="6"/>
  <c r="Y199" i="6"/>
  <c r="Y200" i="6"/>
  <c r="Y201" i="6"/>
  <c r="AA201" i="6" s="1" a="1"/>
  <c r="AA201" i="6" s="1"/>
  <c r="AB201" i="6" s="1"/>
  <c r="AC201" i="6" s="1"/>
  <c r="AE201" i="6" s="1"/>
  <c r="Y202" i="6"/>
  <c r="Y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3" i="6"/>
  <c r="V4" i="6"/>
  <c r="V5" i="6"/>
  <c r="V6" i="6"/>
  <c r="V7" i="6"/>
  <c r="W7" i="6" s="1"/>
  <c r="X7" i="6" s="1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W31" i="6" s="1"/>
  <c r="X31" i="6" s="1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W79" i="6" s="1"/>
  <c r="X79" i="6" s="1"/>
  <c r="V80" i="6"/>
  <c r="V81" i="6"/>
  <c r="V82" i="6"/>
  <c r="V83" i="6"/>
  <c r="V84" i="6"/>
  <c r="V85" i="6"/>
  <c r="V86" i="6"/>
  <c r="V87" i="6"/>
  <c r="V88" i="6"/>
  <c r="V89" i="6"/>
  <c r="V90" i="6"/>
  <c r="V91" i="6"/>
  <c r="W91" i="6" s="1"/>
  <c r="X91" i="6" s="1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W127" i="6" s="1"/>
  <c r="X127" i="6" s="1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W132" i="6" s="1"/>
  <c r="X132" i="6" s="1"/>
  <c r="U133" i="6"/>
  <c r="U134" i="6"/>
  <c r="U135" i="6"/>
  <c r="U136" i="6"/>
  <c r="U137" i="6"/>
  <c r="U138" i="6"/>
  <c r="U139" i="6"/>
  <c r="U140" i="6"/>
  <c r="U141" i="6"/>
  <c r="U142" i="6"/>
  <c r="U143" i="6"/>
  <c r="U144" i="6"/>
  <c r="W144" i="6" s="1"/>
  <c r="X144" i="6" s="1"/>
  <c r="U145" i="6"/>
  <c r="U146" i="6"/>
  <c r="U147" i="6"/>
  <c r="U148" i="6"/>
  <c r="U149" i="6"/>
  <c r="U150" i="6"/>
  <c r="U151" i="6"/>
  <c r="U152" i="6"/>
  <c r="U153" i="6"/>
  <c r="U154" i="6"/>
  <c r="U155" i="6"/>
  <c r="U156" i="6"/>
  <c r="W156" i="6" s="1"/>
  <c r="X156" i="6" s="1"/>
  <c r="U157" i="6"/>
  <c r="U158" i="6"/>
  <c r="U159" i="6"/>
  <c r="U160" i="6"/>
  <c r="U161" i="6"/>
  <c r="U162" i="6"/>
  <c r="U163" i="6"/>
  <c r="U164" i="6"/>
  <c r="U165" i="6"/>
  <c r="U166" i="6"/>
  <c r="U167" i="6"/>
  <c r="U168" i="6"/>
  <c r="W168" i="6" s="1"/>
  <c r="X168" i="6" s="1"/>
  <c r="U169" i="6"/>
  <c r="U170" i="6"/>
  <c r="U171" i="6"/>
  <c r="U172" i="6"/>
  <c r="U173" i="6"/>
  <c r="U174" i="6"/>
  <c r="U175" i="6"/>
  <c r="U176" i="6"/>
  <c r="U177" i="6"/>
  <c r="U178" i="6"/>
  <c r="U179" i="6"/>
  <c r="U180" i="6"/>
  <c r="W180" i="6" s="1"/>
  <c r="X180" i="6" s="1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3" i="6"/>
  <c r="P202" i="6"/>
  <c r="O202" i="6"/>
  <c r="Q202" i="6" s="1"/>
  <c r="N202" i="6"/>
  <c r="S202" i="6" s="1"/>
  <c r="Z202" i="6" s="1"/>
  <c r="P201" i="6"/>
  <c r="O201" i="6"/>
  <c r="Q201" i="6" s="1"/>
  <c r="N201" i="6"/>
  <c r="S201" i="6" s="1"/>
  <c r="Z201" i="6" s="1"/>
  <c r="P200" i="6"/>
  <c r="O200" i="6"/>
  <c r="Q200" i="6" s="1"/>
  <c r="N200" i="6"/>
  <c r="S200" i="6" s="1"/>
  <c r="Z200" i="6" s="1"/>
  <c r="P199" i="6"/>
  <c r="O199" i="6"/>
  <c r="Q199" i="6" s="1"/>
  <c r="N199" i="6"/>
  <c r="P198" i="6"/>
  <c r="O198" i="6"/>
  <c r="Q198" i="6" s="1"/>
  <c r="N198" i="6"/>
  <c r="S198" i="6" s="1"/>
  <c r="Z198" i="6" s="1"/>
  <c r="P197" i="6"/>
  <c r="O197" i="6"/>
  <c r="Q197" i="6" s="1"/>
  <c r="N197" i="6"/>
  <c r="P196" i="6"/>
  <c r="O196" i="6"/>
  <c r="Q196" i="6" s="1"/>
  <c r="N196" i="6"/>
  <c r="P195" i="6"/>
  <c r="O195" i="6"/>
  <c r="Q195" i="6" s="1"/>
  <c r="N195" i="6"/>
  <c r="P194" i="6"/>
  <c r="O194" i="6"/>
  <c r="Q194" i="6" s="1"/>
  <c r="N194" i="6"/>
  <c r="S194" i="6" s="1"/>
  <c r="Z194" i="6" s="1"/>
  <c r="P193" i="6"/>
  <c r="O193" i="6"/>
  <c r="Q193" i="6" s="1"/>
  <c r="N193" i="6"/>
  <c r="S193" i="6" s="1"/>
  <c r="Z193" i="6" s="1"/>
  <c r="P192" i="6"/>
  <c r="O192" i="6"/>
  <c r="Q192" i="6" s="1"/>
  <c r="N192" i="6"/>
  <c r="P191" i="6"/>
  <c r="O191" i="6"/>
  <c r="Q191" i="6" s="1"/>
  <c r="N191" i="6"/>
  <c r="S191" i="6" s="1"/>
  <c r="Z191" i="6" s="1"/>
  <c r="P190" i="6"/>
  <c r="O190" i="6"/>
  <c r="Q190" i="6" s="1"/>
  <c r="N190" i="6"/>
  <c r="S190" i="6" s="1"/>
  <c r="Z190" i="6" s="1"/>
  <c r="P189" i="6"/>
  <c r="O189" i="6"/>
  <c r="Q189" i="6" s="1"/>
  <c r="N189" i="6"/>
  <c r="P188" i="6"/>
  <c r="O188" i="6"/>
  <c r="Q188" i="6" s="1"/>
  <c r="N188" i="6"/>
  <c r="P187" i="6"/>
  <c r="O187" i="6"/>
  <c r="Q187" i="6" s="1"/>
  <c r="N187" i="6"/>
  <c r="P186" i="6"/>
  <c r="O186" i="6"/>
  <c r="Q186" i="6" s="1"/>
  <c r="N186" i="6"/>
  <c r="P185" i="6"/>
  <c r="O185" i="6"/>
  <c r="Q185" i="6" s="1"/>
  <c r="N185" i="6"/>
  <c r="S185" i="6" s="1"/>
  <c r="Z185" i="6" s="1"/>
  <c r="P184" i="6"/>
  <c r="O184" i="6"/>
  <c r="Q184" i="6" s="1"/>
  <c r="N184" i="6"/>
  <c r="P183" i="6"/>
  <c r="O183" i="6"/>
  <c r="Q183" i="6" s="1"/>
  <c r="N183" i="6"/>
  <c r="P182" i="6"/>
  <c r="O182" i="6"/>
  <c r="Q182" i="6" s="1"/>
  <c r="N182" i="6"/>
  <c r="S182" i="6" s="1"/>
  <c r="Z182" i="6" s="1"/>
  <c r="P181" i="6"/>
  <c r="O181" i="6"/>
  <c r="Q181" i="6" s="1"/>
  <c r="N181" i="6"/>
  <c r="P180" i="6"/>
  <c r="O180" i="6"/>
  <c r="Q180" i="6" s="1"/>
  <c r="N180" i="6"/>
  <c r="P179" i="6"/>
  <c r="O179" i="6"/>
  <c r="Q179" i="6" s="1"/>
  <c r="N179" i="6"/>
  <c r="P178" i="6"/>
  <c r="O178" i="6"/>
  <c r="Q178" i="6" s="1"/>
  <c r="N178" i="6"/>
  <c r="S178" i="6" s="1"/>
  <c r="Z178" i="6" s="1"/>
  <c r="P177" i="6"/>
  <c r="O177" i="6"/>
  <c r="Q177" i="6" s="1"/>
  <c r="N177" i="6"/>
  <c r="P176" i="6"/>
  <c r="O176" i="6"/>
  <c r="Q176" i="6" s="1"/>
  <c r="N176" i="6"/>
  <c r="P175" i="6"/>
  <c r="O175" i="6"/>
  <c r="Q175" i="6" s="1"/>
  <c r="N175" i="6"/>
  <c r="P174" i="6"/>
  <c r="O174" i="6"/>
  <c r="Q174" i="6" s="1"/>
  <c r="N174" i="6"/>
  <c r="P173" i="6"/>
  <c r="O173" i="6"/>
  <c r="Q173" i="6" s="1"/>
  <c r="N173" i="6"/>
  <c r="P172" i="6"/>
  <c r="O172" i="6"/>
  <c r="Q172" i="6" s="1"/>
  <c r="N172" i="6"/>
  <c r="P171" i="6"/>
  <c r="O171" i="6"/>
  <c r="Q171" i="6" s="1"/>
  <c r="N171" i="6"/>
  <c r="S171" i="6" s="1"/>
  <c r="Z171" i="6" s="1"/>
  <c r="P170" i="6"/>
  <c r="O170" i="6"/>
  <c r="Q170" i="6" s="1"/>
  <c r="N170" i="6"/>
  <c r="P169" i="6"/>
  <c r="O169" i="6"/>
  <c r="Q169" i="6" s="1"/>
  <c r="N169" i="6"/>
  <c r="P168" i="6"/>
  <c r="O168" i="6"/>
  <c r="Q168" i="6" s="1"/>
  <c r="N168" i="6"/>
  <c r="P167" i="6"/>
  <c r="O167" i="6"/>
  <c r="Q167" i="6" s="1"/>
  <c r="N167" i="6"/>
  <c r="P166" i="6"/>
  <c r="O166" i="6"/>
  <c r="Q166" i="6" s="1"/>
  <c r="N166" i="6"/>
  <c r="P165" i="6"/>
  <c r="O165" i="6"/>
  <c r="Q165" i="6" s="1"/>
  <c r="N165" i="6"/>
  <c r="S165" i="6" s="1"/>
  <c r="Z165" i="6" s="1"/>
  <c r="P164" i="6"/>
  <c r="O164" i="6"/>
  <c r="Q164" i="6" s="1"/>
  <c r="N164" i="6"/>
  <c r="P163" i="6"/>
  <c r="O163" i="6"/>
  <c r="Q163" i="6" s="1"/>
  <c r="N163" i="6"/>
  <c r="P162" i="6"/>
  <c r="O162" i="6"/>
  <c r="Q162" i="6" s="1"/>
  <c r="N162" i="6"/>
  <c r="P161" i="6"/>
  <c r="O161" i="6"/>
  <c r="Q161" i="6" s="1"/>
  <c r="N161" i="6"/>
  <c r="P160" i="6"/>
  <c r="O160" i="6"/>
  <c r="Q160" i="6" s="1"/>
  <c r="N160" i="6"/>
  <c r="P159" i="6"/>
  <c r="O159" i="6"/>
  <c r="Q159" i="6" s="1"/>
  <c r="N159" i="6"/>
  <c r="S159" i="6" s="1"/>
  <c r="Z159" i="6" s="1"/>
  <c r="P158" i="6"/>
  <c r="O158" i="6"/>
  <c r="Q158" i="6" s="1"/>
  <c r="N158" i="6"/>
  <c r="P157" i="6"/>
  <c r="O157" i="6"/>
  <c r="Q157" i="6" s="1"/>
  <c r="N157" i="6"/>
  <c r="P156" i="6"/>
  <c r="O156" i="6"/>
  <c r="Q156" i="6" s="1"/>
  <c r="N156" i="6"/>
  <c r="P155" i="6"/>
  <c r="O155" i="6"/>
  <c r="Q155" i="6" s="1"/>
  <c r="N155" i="6"/>
  <c r="P154" i="6"/>
  <c r="O154" i="6"/>
  <c r="Q154" i="6" s="1"/>
  <c r="N154" i="6"/>
  <c r="P153" i="6"/>
  <c r="O153" i="6"/>
  <c r="Q153" i="6" s="1"/>
  <c r="N153" i="6"/>
  <c r="S153" i="6" s="1"/>
  <c r="Z153" i="6" s="1"/>
  <c r="P152" i="6"/>
  <c r="O152" i="6"/>
  <c r="Q152" i="6" s="1"/>
  <c r="N152" i="6"/>
  <c r="S152" i="6" s="1"/>
  <c r="Z152" i="6" s="1"/>
  <c r="P151" i="6"/>
  <c r="O151" i="6"/>
  <c r="Q151" i="6" s="1"/>
  <c r="N151" i="6"/>
  <c r="S151" i="6" s="1"/>
  <c r="Z151" i="6" s="1"/>
  <c r="P150" i="6"/>
  <c r="O150" i="6"/>
  <c r="Q150" i="6" s="1"/>
  <c r="N150" i="6"/>
  <c r="P149" i="6"/>
  <c r="O149" i="6"/>
  <c r="Q149" i="6" s="1"/>
  <c r="N149" i="6"/>
  <c r="P148" i="6"/>
  <c r="O148" i="6"/>
  <c r="Q148" i="6" s="1"/>
  <c r="N148" i="6"/>
  <c r="P147" i="6"/>
  <c r="O147" i="6"/>
  <c r="Q147" i="6" s="1"/>
  <c r="N147" i="6"/>
  <c r="P146" i="6"/>
  <c r="O146" i="6"/>
  <c r="Q146" i="6" s="1"/>
  <c r="N146" i="6"/>
  <c r="P145" i="6"/>
  <c r="O145" i="6"/>
  <c r="Q145" i="6" s="1"/>
  <c r="N145" i="6"/>
  <c r="S145" i="6" s="1"/>
  <c r="Z145" i="6" s="1"/>
  <c r="P144" i="6"/>
  <c r="O144" i="6"/>
  <c r="Q144" i="6" s="1"/>
  <c r="N144" i="6"/>
  <c r="P143" i="6"/>
  <c r="O143" i="6"/>
  <c r="Q143" i="6" s="1"/>
  <c r="N143" i="6"/>
  <c r="S143" i="6" s="1"/>
  <c r="Z143" i="6" s="1"/>
  <c r="P142" i="6"/>
  <c r="O142" i="6"/>
  <c r="Q142" i="6" s="1"/>
  <c r="N142" i="6"/>
  <c r="S142" i="6" s="1"/>
  <c r="Z142" i="6" s="1"/>
  <c r="P141" i="6"/>
  <c r="O141" i="6"/>
  <c r="Q141" i="6" s="1"/>
  <c r="N141" i="6"/>
  <c r="S141" i="6" s="1"/>
  <c r="Z141" i="6" s="1"/>
  <c r="P140" i="6"/>
  <c r="O140" i="6"/>
  <c r="Q140" i="6" s="1"/>
  <c r="N140" i="6"/>
  <c r="P139" i="6"/>
  <c r="O139" i="6"/>
  <c r="Q139" i="6" s="1"/>
  <c r="N139" i="6"/>
  <c r="S139" i="6" s="1"/>
  <c r="Z139" i="6" s="1"/>
  <c r="P138" i="6"/>
  <c r="O138" i="6"/>
  <c r="Q138" i="6" s="1"/>
  <c r="N138" i="6"/>
  <c r="P137" i="6"/>
  <c r="O137" i="6"/>
  <c r="Q137" i="6" s="1"/>
  <c r="N137" i="6"/>
  <c r="P136" i="6"/>
  <c r="O136" i="6"/>
  <c r="Q136" i="6" s="1"/>
  <c r="N136" i="6"/>
  <c r="P135" i="6"/>
  <c r="O135" i="6"/>
  <c r="Q135" i="6" s="1"/>
  <c r="N135" i="6"/>
  <c r="P134" i="6"/>
  <c r="O134" i="6"/>
  <c r="Q134" i="6" s="1"/>
  <c r="N134" i="6"/>
  <c r="P133" i="6"/>
  <c r="O133" i="6"/>
  <c r="Q133" i="6" s="1"/>
  <c r="N133" i="6"/>
  <c r="P132" i="6"/>
  <c r="O132" i="6"/>
  <c r="Q132" i="6" s="1"/>
  <c r="N132" i="6"/>
  <c r="P131" i="6"/>
  <c r="O131" i="6"/>
  <c r="Q131" i="6" s="1"/>
  <c r="N131" i="6"/>
  <c r="P130" i="6"/>
  <c r="O130" i="6"/>
  <c r="Q130" i="6" s="1"/>
  <c r="N130" i="6"/>
  <c r="S130" i="6" s="1"/>
  <c r="Z130" i="6" s="1"/>
  <c r="P129" i="6"/>
  <c r="O129" i="6"/>
  <c r="Q129" i="6" s="1"/>
  <c r="N129" i="6"/>
  <c r="S129" i="6" s="1"/>
  <c r="Z129" i="6" s="1"/>
  <c r="P128" i="6"/>
  <c r="O128" i="6"/>
  <c r="Q128" i="6" s="1"/>
  <c r="N128" i="6"/>
  <c r="S128" i="6" s="1"/>
  <c r="Z128" i="6" s="1"/>
  <c r="P127" i="6"/>
  <c r="O127" i="6"/>
  <c r="Q127" i="6" s="1"/>
  <c r="N127" i="6"/>
  <c r="S127" i="6" s="1"/>
  <c r="Z127" i="6" s="1"/>
  <c r="P126" i="6"/>
  <c r="O126" i="6"/>
  <c r="Q126" i="6" s="1"/>
  <c r="N126" i="6"/>
  <c r="S126" i="6" s="1"/>
  <c r="Z126" i="6" s="1"/>
  <c r="P125" i="6"/>
  <c r="O125" i="6"/>
  <c r="Q125" i="6" s="1"/>
  <c r="N125" i="6"/>
  <c r="P124" i="6"/>
  <c r="O124" i="6"/>
  <c r="Q124" i="6" s="1"/>
  <c r="N124" i="6"/>
  <c r="P123" i="6"/>
  <c r="O123" i="6"/>
  <c r="Q123" i="6" s="1"/>
  <c r="N123" i="6"/>
  <c r="S123" i="6" s="1"/>
  <c r="Z123" i="6" s="1"/>
  <c r="P122" i="6"/>
  <c r="O122" i="6"/>
  <c r="Q122" i="6" s="1"/>
  <c r="N122" i="6"/>
  <c r="P121" i="6"/>
  <c r="O121" i="6"/>
  <c r="Q121" i="6" s="1"/>
  <c r="N121" i="6"/>
  <c r="P120" i="6"/>
  <c r="O120" i="6"/>
  <c r="Q120" i="6" s="1"/>
  <c r="N120" i="6"/>
  <c r="P119" i="6"/>
  <c r="O119" i="6"/>
  <c r="Q119" i="6" s="1"/>
  <c r="N119" i="6"/>
  <c r="P118" i="6"/>
  <c r="O118" i="6"/>
  <c r="Q118" i="6" s="1"/>
  <c r="N118" i="6"/>
  <c r="S118" i="6" s="1"/>
  <c r="Z118" i="6" s="1"/>
  <c r="P117" i="6"/>
  <c r="O117" i="6"/>
  <c r="Q117" i="6" s="1"/>
  <c r="N117" i="6"/>
  <c r="P116" i="6"/>
  <c r="O116" i="6"/>
  <c r="Q116" i="6" s="1"/>
  <c r="N116" i="6"/>
  <c r="P115" i="6"/>
  <c r="O115" i="6"/>
  <c r="Q115" i="6" s="1"/>
  <c r="N115" i="6"/>
  <c r="P114" i="6"/>
  <c r="O114" i="6"/>
  <c r="Q114" i="6" s="1"/>
  <c r="N114" i="6"/>
  <c r="P113" i="6"/>
  <c r="O113" i="6"/>
  <c r="Q113" i="6" s="1"/>
  <c r="N113" i="6"/>
  <c r="S113" i="6" s="1"/>
  <c r="Z113" i="6" s="1"/>
  <c r="P112" i="6"/>
  <c r="O112" i="6"/>
  <c r="Q112" i="6" s="1"/>
  <c r="N112" i="6"/>
  <c r="P111" i="6"/>
  <c r="O111" i="6"/>
  <c r="Q111" i="6" s="1"/>
  <c r="N111" i="6"/>
  <c r="P110" i="6"/>
  <c r="O110" i="6"/>
  <c r="Q110" i="6" s="1"/>
  <c r="N110" i="6"/>
  <c r="S110" i="6" s="1"/>
  <c r="Z110" i="6" s="1"/>
  <c r="P109" i="6"/>
  <c r="O109" i="6"/>
  <c r="Q109" i="6" s="1"/>
  <c r="N109" i="6"/>
  <c r="P108" i="6"/>
  <c r="O108" i="6"/>
  <c r="Q108" i="6" s="1"/>
  <c r="N108" i="6"/>
  <c r="P107" i="6"/>
  <c r="O107" i="6"/>
  <c r="Q107" i="6" s="1"/>
  <c r="N107" i="6"/>
  <c r="P106" i="6"/>
  <c r="O106" i="6"/>
  <c r="Q106" i="6" s="1"/>
  <c r="N106" i="6"/>
  <c r="P105" i="6"/>
  <c r="O105" i="6"/>
  <c r="Q105" i="6" s="1"/>
  <c r="N105" i="6"/>
  <c r="P104" i="6"/>
  <c r="O104" i="6"/>
  <c r="Q104" i="6" s="1"/>
  <c r="N104" i="6"/>
  <c r="P103" i="6"/>
  <c r="O103" i="6"/>
  <c r="Q103" i="6" s="1"/>
  <c r="N103" i="6"/>
  <c r="P102" i="6"/>
  <c r="O102" i="6"/>
  <c r="Q102" i="6" s="1"/>
  <c r="N102" i="6"/>
  <c r="P101" i="6"/>
  <c r="O101" i="6"/>
  <c r="Q101" i="6" s="1"/>
  <c r="N101" i="6"/>
  <c r="S101" i="6" s="1"/>
  <c r="Z101" i="6" s="1"/>
  <c r="P100" i="6"/>
  <c r="O100" i="6"/>
  <c r="Q100" i="6" s="1"/>
  <c r="N100" i="6"/>
  <c r="P99" i="6"/>
  <c r="O99" i="6"/>
  <c r="Q99" i="6" s="1"/>
  <c r="N99" i="6"/>
  <c r="P98" i="6"/>
  <c r="O98" i="6"/>
  <c r="Q98" i="6" s="1"/>
  <c r="N98" i="6"/>
  <c r="P97" i="6"/>
  <c r="O97" i="6"/>
  <c r="Q97" i="6" s="1"/>
  <c r="N97" i="6"/>
  <c r="P96" i="6"/>
  <c r="O96" i="6"/>
  <c r="Q96" i="6" s="1"/>
  <c r="N96" i="6"/>
  <c r="S96" i="6" s="1"/>
  <c r="Z96" i="6" s="1"/>
  <c r="P95" i="6"/>
  <c r="O95" i="6"/>
  <c r="Q95" i="6" s="1"/>
  <c r="N95" i="6"/>
  <c r="P94" i="6"/>
  <c r="O94" i="6"/>
  <c r="Q94" i="6" s="1"/>
  <c r="N94" i="6"/>
  <c r="P93" i="6"/>
  <c r="O93" i="6"/>
  <c r="Q93" i="6" s="1"/>
  <c r="N93" i="6"/>
  <c r="P92" i="6"/>
  <c r="O92" i="6"/>
  <c r="Q92" i="6" s="1"/>
  <c r="N92" i="6"/>
  <c r="S92" i="6" s="1"/>
  <c r="Z92" i="6" s="1"/>
  <c r="P91" i="6"/>
  <c r="O91" i="6"/>
  <c r="Q91" i="6" s="1"/>
  <c r="N91" i="6"/>
  <c r="P90" i="6"/>
  <c r="O90" i="6"/>
  <c r="Q90" i="6" s="1"/>
  <c r="N90" i="6"/>
  <c r="P89" i="6"/>
  <c r="O89" i="6"/>
  <c r="Q89" i="6" s="1"/>
  <c r="N89" i="6"/>
  <c r="P88" i="6"/>
  <c r="O88" i="6"/>
  <c r="Q88" i="6" s="1"/>
  <c r="N88" i="6"/>
  <c r="P87" i="6"/>
  <c r="O87" i="6"/>
  <c r="Q87" i="6" s="1"/>
  <c r="N87" i="6"/>
  <c r="P86" i="6"/>
  <c r="O86" i="6"/>
  <c r="Q86" i="6" s="1"/>
  <c r="N86" i="6"/>
  <c r="S86" i="6" s="1"/>
  <c r="Z86" i="6" s="1"/>
  <c r="P85" i="6"/>
  <c r="O85" i="6"/>
  <c r="Q85" i="6" s="1"/>
  <c r="N85" i="6"/>
  <c r="S85" i="6" s="1"/>
  <c r="Z85" i="6" s="1"/>
  <c r="P84" i="6"/>
  <c r="O84" i="6"/>
  <c r="Q84" i="6" s="1"/>
  <c r="N84" i="6"/>
  <c r="S84" i="6" s="1"/>
  <c r="Z84" i="6" s="1"/>
  <c r="P83" i="6"/>
  <c r="O83" i="6"/>
  <c r="Q83" i="6" s="1"/>
  <c r="N83" i="6"/>
  <c r="P82" i="6"/>
  <c r="O82" i="6"/>
  <c r="Q82" i="6" s="1"/>
  <c r="N82" i="6"/>
  <c r="P81" i="6"/>
  <c r="O81" i="6"/>
  <c r="Q81" i="6" s="1"/>
  <c r="N81" i="6"/>
  <c r="P80" i="6"/>
  <c r="O80" i="6"/>
  <c r="Q80" i="6" s="1"/>
  <c r="N80" i="6"/>
  <c r="S80" i="6" s="1"/>
  <c r="Z80" i="6" s="1"/>
  <c r="P79" i="6"/>
  <c r="O79" i="6"/>
  <c r="Q79" i="6" s="1"/>
  <c r="N79" i="6"/>
  <c r="S79" i="6" s="1"/>
  <c r="Z79" i="6" s="1"/>
  <c r="P78" i="6"/>
  <c r="O78" i="6"/>
  <c r="Q78" i="6" s="1"/>
  <c r="N78" i="6"/>
  <c r="P77" i="6"/>
  <c r="O77" i="6"/>
  <c r="Q77" i="6" s="1"/>
  <c r="N77" i="6"/>
  <c r="S77" i="6" s="1"/>
  <c r="Z77" i="6" s="1"/>
  <c r="P76" i="6"/>
  <c r="O76" i="6"/>
  <c r="Q76" i="6" s="1"/>
  <c r="N76" i="6"/>
  <c r="S76" i="6" s="1"/>
  <c r="Z76" i="6" s="1"/>
  <c r="P75" i="6"/>
  <c r="O75" i="6"/>
  <c r="Q75" i="6" s="1"/>
  <c r="N75" i="6"/>
  <c r="P74" i="6"/>
  <c r="O74" i="6"/>
  <c r="Q74" i="6" s="1"/>
  <c r="N74" i="6"/>
  <c r="P73" i="6"/>
  <c r="O73" i="6"/>
  <c r="Q73" i="6" s="1"/>
  <c r="N73" i="6"/>
  <c r="S73" i="6" s="1"/>
  <c r="Z73" i="6" s="1"/>
  <c r="P72" i="6"/>
  <c r="O72" i="6"/>
  <c r="Q72" i="6" s="1"/>
  <c r="N72" i="6"/>
  <c r="P71" i="6"/>
  <c r="O71" i="6"/>
  <c r="Q71" i="6" s="1"/>
  <c r="N71" i="6"/>
  <c r="P70" i="6"/>
  <c r="O70" i="6"/>
  <c r="Q70" i="6" s="1"/>
  <c r="N70" i="6"/>
  <c r="P69" i="6"/>
  <c r="O69" i="6"/>
  <c r="Q69" i="6" s="1"/>
  <c r="N69" i="6"/>
  <c r="P68" i="6"/>
  <c r="O68" i="6"/>
  <c r="Q68" i="6" s="1"/>
  <c r="N68" i="6"/>
  <c r="P67" i="6"/>
  <c r="O67" i="6"/>
  <c r="Q67" i="6" s="1"/>
  <c r="N67" i="6"/>
  <c r="S67" i="6" s="1"/>
  <c r="Z67" i="6" s="1"/>
  <c r="P66" i="6"/>
  <c r="O66" i="6"/>
  <c r="Q66" i="6" s="1"/>
  <c r="N66" i="6"/>
  <c r="P65" i="6"/>
  <c r="O65" i="6"/>
  <c r="Q65" i="6" s="1"/>
  <c r="N65" i="6"/>
  <c r="S65" i="6" s="1"/>
  <c r="Z65" i="6" s="1"/>
  <c r="P64" i="6"/>
  <c r="O64" i="6"/>
  <c r="Q64" i="6" s="1"/>
  <c r="N64" i="6"/>
  <c r="P63" i="6"/>
  <c r="O63" i="6"/>
  <c r="Q63" i="6" s="1"/>
  <c r="N63" i="6"/>
  <c r="P62" i="6"/>
  <c r="O62" i="6"/>
  <c r="Q62" i="6" s="1"/>
  <c r="N62" i="6"/>
  <c r="S62" i="6" s="1"/>
  <c r="Z62" i="6" s="1"/>
  <c r="P61" i="6"/>
  <c r="O61" i="6"/>
  <c r="Q61" i="6" s="1"/>
  <c r="N61" i="6"/>
  <c r="S61" i="6" s="1"/>
  <c r="Z61" i="6" s="1"/>
  <c r="P60" i="6"/>
  <c r="O60" i="6"/>
  <c r="Q60" i="6" s="1"/>
  <c r="N60" i="6"/>
  <c r="P59" i="6"/>
  <c r="O59" i="6"/>
  <c r="Q59" i="6" s="1"/>
  <c r="N59" i="6"/>
  <c r="S59" i="6" s="1"/>
  <c r="Z59" i="6" s="1"/>
  <c r="P58" i="6"/>
  <c r="O58" i="6"/>
  <c r="Q58" i="6" s="1"/>
  <c r="N58" i="6"/>
  <c r="P57" i="6"/>
  <c r="O57" i="6"/>
  <c r="Q57" i="6" s="1"/>
  <c r="N57" i="6"/>
  <c r="P56" i="6"/>
  <c r="O56" i="6"/>
  <c r="Q56" i="6" s="1"/>
  <c r="N56" i="6"/>
  <c r="P55" i="6"/>
  <c r="O55" i="6"/>
  <c r="Q55" i="6" s="1"/>
  <c r="N55" i="6"/>
  <c r="P54" i="6"/>
  <c r="O54" i="6"/>
  <c r="Q54" i="6" s="1"/>
  <c r="N54" i="6"/>
  <c r="P53" i="6"/>
  <c r="O53" i="6"/>
  <c r="Q53" i="6" s="1"/>
  <c r="N53" i="6"/>
  <c r="P52" i="6"/>
  <c r="O52" i="6"/>
  <c r="Q52" i="6" s="1"/>
  <c r="N52" i="6"/>
  <c r="P51" i="6"/>
  <c r="O51" i="6"/>
  <c r="Q51" i="6" s="1"/>
  <c r="N51" i="6"/>
  <c r="P50" i="6"/>
  <c r="O50" i="6"/>
  <c r="Q50" i="6" s="1"/>
  <c r="N50" i="6"/>
  <c r="P49" i="6"/>
  <c r="O49" i="6"/>
  <c r="Q49" i="6" s="1"/>
  <c r="N49" i="6"/>
  <c r="P48" i="6"/>
  <c r="O48" i="6"/>
  <c r="Q48" i="6" s="1"/>
  <c r="N48" i="6"/>
  <c r="P47" i="6"/>
  <c r="O47" i="6"/>
  <c r="Q47" i="6" s="1"/>
  <c r="N47" i="6"/>
  <c r="S47" i="6" s="1"/>
  <c r="Z47" i="6" s="1"/>
  <c r="P46" i="6"/>
  <c r="O46" i="6"/>
  <c r="Q46" i="6" s="1"/>
  <c r="N46" i="6"/>
  <c r="P45" i="6"/>
  <c r="O45" i="6"/>
  <c r="Q45" i="6" s="1"/>
  <c r="N45" i="6"/>
  <c r="P44" i="6"/>
  <c r="O44" i="6"/>
  <c r="Q44" i="6" s="1"/>
  <c r="N44" i="6"/>
  <c r="S44" i="6" s="1"/>
  <c r="Z44" i="6" s="1"/>
  <c r="P43" i="6"/>
  <c r="O43" i="6"/>
  <c r="Q43" i="6" s="1"/>
  <c r="N43" i="6"/>
  <c r="P42" i="6"/>
  <c r="O42" i="6"/>
  <c r="Q42" i="6" s="1"/>
  <c r="N42" i="6"/>
  <c r="P41" i="6"/>
  <c r="O41" i="6"/>
  <c r="Q41" i="6" s="1"/>
  <c r="N41" i="6"/>
  <c r="P40" i="6"/>
  <c r="O40" i="6"/>
  <c r="Q40" i="6" s="1"/>
  <c r="N40" i="6"/>
  <c r="P39" i="6"/>
  <c r="O39" i="6"/>
  <c r="Q39" i="6" s="1"/>
  <c r="N39" i="6"/>
  <c r="P38" i="6"/>
  <c r="O38" i="6"/>
  <c r="Q38" i="6" s="1"/>
  <c r="N38" i="6"/>
  <c r="P37" i="6"/>
  <c r="O37" i="6"/>
  <c r="Q37" i="6" s="1"/>
  <c r="N37" i="6"/>
  <c r="S37" i="6" s="1"/>
  <c r="Z37" i="6" s="1"/>
  <c r="P36" i="6"/>
  <c r="O36" i="6"/>
  <c r="Q36" i="6" s="1"/>
  <c r="N36" i="6"/>
  <c r="P35" i="6"/>
  <c r="O35" i="6"/>
  <c r="Q35" i="6" s="1"/>
  <c r="N35" i="6"/>
  <c r="S35" i="6" s="1"/>
  <c r="Z35" i="6" s="1"/>
  <c r="P34" i="6"/>
  <c r="O34" i="6"/>
  <c r="Q34" i="6" s="1"/>
  <c r="N34" i="6"/>
  <c r="P33" i="6"/>
  <c r="O33" i="6"/>
  <c r="Q33" i="6" s="1"/>
  <c r="N33" i="6"/>
  <c r="S33" i="6" s="1"/>
  <c r="Z33" i="6" s="1"/>
  <c r="P32" i="6"/>
  <c r="O32" i="6"/>
  <c r="Q32" i="6" s="1"/>
  <c r="N32" i="6"/>
  <c r="P31" i="6"/>
  <c r="O31" i="6"/>
  <c r="Q31" i="6" s="1"/>
  <c r="N31" i="6"/>
  <c r="P30" i="6"/>
  <c r="O30" i="6"/>
  <c r="Q30" i="6" s="1"/>
  <c r="N30" i="6"/>
  <c r="P29" i="6"/>
  <c r="O29" i="6"/>
  <c r="Q29" i="6" s="1"/>
  <c r="N29" i="6"/>
  <c r="P28" i="6"/>
  <c r="O28" i="6"/>
  <c r="Q28" i="6" s="1"/>
  <c r="N28" i="6"/>
  <c r="P27" i="6"/>
  <c r="O27" i="6"/>
  <c r="Q27" i="6" s="1"/>
  <c r="N27" i="6"/>
  <c r="P26" i="6"/>
  <c r="O26" i="6"/>
  <c r="Q26" i="6" s="1"/>
  <c r="N26" i="6"/>
  <c r="P25" i="6"/>
  <c r="O25" i="6"/>
  <c r="Q25" i="6" s="1"/>
  <c r="N25" i="6"/>
  <c r="P24" i="6"/>
  <c r="O24" i="6"/>
  <c r="Q24" i="6" s="1"/>
  <c r="N24" i="6"/>
  <c r="P23" i="6"/>
  <c r="O23" i="6"/>
  <c r="Q23" i="6" s="1"/>
  <c r="N23" i="6"/>
  <c r="P22" i="6"/>
  <c r="O22" i="6"/>
  <c r="Q22" i="6" s="1"/>
  <c r="N22" i="6"/>
  <c r="P21" i="6"/>
  <c r="O21" i="6"/>
  <c r="Q21" i="6" s="1"/>
  <c r="N21" i="6"/>
  <c r="P20" i="6"/>
  <c r="O20" i="6"/>
  <c r="Q20" i="6" s="1"/>
  <c r="N20" i="6"/>
  <c r="P19" i="6"/>
  <c r="O19" i="6"/>
  <c r="Q19" i="6" s="1"/>
  <c r="N19" i="6"/>
  <c r="P18" i="6"/>
  <c r="O18" i="6"/>
  <c r="Q18" i="6" s="1"/>
  <c r="N18" i="6"/>
  <c r="P17" i="6"/>
  <c r="O17" i="6"/>
  <c r="Q17" i="6" s="1"/>
  <c r="N17" i="6"/>
  <c r="P16" i="6"/>
  <c r="O16" i="6"/>
  <c r="Q16" i="6" s="1"/>
  <c r="N16" i="6"/>
  <c r="P15" i="6"/>
  <c r="O15" i="6"/>
  <c r="Q15" i="6" s="1"/>
  <c r="N15" i="6"/>
  <c r="P14" i="6"/>
  <c r="O14" i="6"/>
  <c r="Q14" i="6" s="1"/>
  <c r="N14" i="6"/>
  <c r="S14" i="6" s="1"/>
  <c r="Z14" i="6" s="1"/>
  <c r="P13" i="6"/>
  <c r="O13" i="6"/>
  <c r="Q13" i="6" s="1"/>
  <c r="N13" i="6"/>
  <c r="P12" i="6"/>
  <c r="O12" i="6"/>
  <c r="Q12" i="6" s="1"/>
  <c r="N12" i="6"/>
  <c r="P11" i="6"/>
  <c r="O11" i="6"/>
  <c r="Q11" i="6" s="1"/>
  <c r="N11" i="6"/>
  <c r="P10" i="6"/>
  <c r="O10" i="6"/>
  <c r="Q10" i="6" s="1"/>
  <c r="N10" i="6"/>
  <c r="P9" i="6"/>
  <c r="O9" i="6"/>
  <c r="Q9" i="6" s="1"/>
  <c r="N9" i="6"/>
  <c r="P8" i="6"/>
  <c r="O8" i="6"/>
  <c r="Q8" i="6" s="1"/>
  <c r="N8" i="6"/>
  <c r="P7" i="6"/>
  <c r="O7" i="6"/>
  <c r="Q7" i="6" s="1"/>
  <c r="N7" i="6"/>
  <c r="P6" i="6"/>
  <c r="O6" i="6"/>
  <c r="Q6" i="6" s="1"/>
  <c r="N6" i="6"/>
  <c r="S6" i="6" s="1"/>
  <c r="Z6" i="6" s="1"/>
  <c r="P5" i="6"/>
  <c r="O5" i="6"/>
  <c r="Q5" i="6" s="1"/>
  <c r="N5" i="6"/>
  <c r="P4" i="6"/>
  <c r="O4" i="6"/>
  <c r="Q4" i="6" s="1"/>
  <c r="N4" i="6"/>
  <c r="S4" i="6" s="1"/>
  <c r="Z4" i="6" s="1"/>
  <c r="P3" i="6"/>
  <c r="O3" i="6"/>
  <c r="Q3" i="6" s="1"/>
  <c r="N3" i="6"/>
  <c r="AE192" i="6" l="1"/>
  <c r="AE180" i="6"/>
  <c r="AE191" i="6"/>
  <c r="AD91" i="6"/>
  <c r="AE43" i="6"/>
  <c r="AE167" i="6"/>
  <c r="AE90" i="6"/>
  <c r="AE95" i="6"/>
  <c r="AE107" i="6"/>
  <c r="AE70" i="6"/>
  <c r="AE27" i="6"/>
  <c r="AD85" i="6"/>
  <c r="AE85" i="6"/>
  <c r="AD174" i="6"/>
  <c r="AE174" i="6"/>
  <c r="AD5" i="6"/>
  <c r="AE5" i="6"/>
  <c r="AD169" i="6"/>
  <c r="AE169" i="6"/>
  <c r="AD13" i="6"/>
  <c r="AE13" i="6"/>
  <c r="AD159" i="6"/>
  <c r="AE159" i="6"/>
  <c r="AD111" i="6"/>
  <c r="AE111" i="6"/>
  <c r="AD87" i="6"/>
  <c r="AE87" i="6"/>
  <c r="AD125" i="6"/>
  <c r="AD77" i="6"/>
  <c r="AD90" i="6"/>
  <c r="AD64" i="6"/>
  <c r="AD183" i="6"/>
  <c r="AD181" i="6"/>
  <c r="AD61" i="6"/>
  <c r="AD192" i="6"/>
  <c r="AD180" i="6"/>
  <c r="AD191" i="6"/>
  <c r="AD167" i="6"/>
  <c r="AD107" i="6"/>
  <c r="AD95" i="6"/>
  <c r="AE91" i="6"/>
  <c r="AD70" i="6"/>
  <c r="B8" i="11"/>
  <c r="AD201" i="6"/>
  <c r="AE125" i="6"/>
  <c r="AE77" i="6"/>
  <c r="AE64" i="6"/>
  <c r="AE183" i="6"/>
  <c r="AA143" i="6" a="1"/>
  <c r="AA143" i="6" s="1"/>
  <c r="AB143" i="6" s="1"/>
  <c r="AC143" i="6" s="1"/>
  <c r="AA35" i="6" a="1"/>
  <c r="AA35" i="6" s="1"/>
  <c r="AB35" i="6" s="1"/>
  <c r="AC35" i="6" s="1"/>
  <c r="W64" i="6"/>
  <c r="X64" i="6" s="1"/>
  <c r="W28" i="6"/>
  <c r="X28" i="6" s="1"/>
  <c r="AD27" i="6"/>
  <c r="S57" i="6"/>
  <c r="Z57" i="6" s="1"/>
  <c r="AA57" i="6" s="1" a="1"/>
  <c r="AA57" i="6" s="1"/>
  <c r="AB57" i="6" s="1"/>
  <c r="AC57" i="6" s="1"/>
  <c r="AD43" i="6"/>
  <c r="AA59" i="6" a="1"/>
  <c r="AA59" i="6" s="1"/>
  <c r="AB59" i="6" s="1"/>
  <c r="AC59" i="6" s="1"/>
  <c r="S53" i="6"/>
  <c r="Z53" i="6" s="1"/>
  <c r="AA53" i="6" s="1" a="1"/>
  <c r="AA53" i="6" s="1"/>
  <c r="AB53" i="6" s="1"/>
  <c r="AC53" i="6" s="1"/>
  <c r="AA47" i="6" a="1"/>
  <c r="AA47" i="6" s="1"/>
  <c r="AB47" i="6" s="1"/>
  <c r="AC47" i="6" s="1"/>
  <c r="W196" i="6"/>
  <c r="X196" i="6" s="1"/>
  <c r="W160" i="6"/>
  <c r="X160" i="6" s="1"/>
  <c r="W124" i="6"/>
  <c r="X124" i="6" s="1"/>
  <c r="W88" i="6"/>
  <c r="X88" i="6" s="1"/>
  <c r="W40" i="6"/>
  <c r="X40" i="6" s="1"/>
  <c r="W16" i="6"/>
  <c r="X16" i="6" s="1"/>
  <c r="W184" i="6"/>
  <c r="X184" i="6" s="1"/>
  <c r="W172" i="6"/>
  <c r="X172" i="6" s="1"/>
  <c r="W148" i="6"/>
  <c r="X148" i="6" s="1"/>
  <c r="W136" i="6"/>
  <c r="X136" i="6" s="1"/>
  <c r="W112" i="6"/>
  <c r="X112" i="6" s="1"/>
  <c r="W100" i="6"/>
  <c r="X100" i="6" s="1"/>
  <c r="W76" i="6"/>
  <c r="X76" i="6" s="1"/>
  <c r="W71" i="6"/>
  <c r="X71" i="6" s="1"/>
  <c r="AA171" i="6" a="1"/>
  <c r="AA171" i="6" s="1"/>
  <c r="AB171" i="6" s="1"/>
  <c r="AC171" i="6" s="1"/>
  <c r="AA123" i="6" a="1"/>
  <c r="AA123" i="6" s="1"/>
  <c r="AB123" i="6" s="1"/>
  <c r="AC123" i="6" s="1"/>
  <c r="W190" i="6"/>
  <c r="X190" i="6" s="1"/>
  <c r="AA194" i="6" a="1"/>
  <c r="AA194" i="6" s="1"/>
  <c r="AB194" i="6" s="1"/>
  <c r="AC194" i="6" s="1"/>
  <c r="AA182" i="6" a="1"/>
  <c r="AA182" i="6" s="1"/>
  <c r="AB182" i="6" s="1"/>
  <c r="AC182" i="6" s="1"/>
  <c r="AA110" i="6" a="1"/>
  <c r="AA110" i="6" s="1"/>
  <c r="AB110" i="6" s="1"/>
  <c r="AC110" i="6" s="1"/>
  <c r="AA86" i="6" a="1"/>
  <c r="AA86" i="6" s="1"/>
  <c r="AB86" i="6" s="1"/>
  <c r="AC86" i="6" s="1"/>
  <c r="AA62" i="6" a="1"/>
  <c r="AA62" i="6" s="1"/>
  <c r="AB62" i="6" s="1"/>
  <c r="AC62" i="6" s="1"/>
  <c r="AA14" i="6" a="1"/>
  <c r="AA14" i="6" s="1"/>
  <c r="AB14" i="6" s="1"/>
  <c r="AC14" i="6" s="1"/>
  <c r="AA96" i="6" a="1"/>
  <c r="AA96" i="6" s="1"/>
  <c r="AB96" i="6" s="1"/>
  <c r="AC96" i="6" s="1"/>
  <c r="AA84" i="6" a="1"/>
  <c r="AA84" i="6" s="1"/>
  <c r="AB84" i="6" s="1"/>
  <c r="AC84" i="6" s="1"/>
  <c r="W118" i="6"/>
  <c r="X118" i="6" s="1"/>
  <c r="W94" i="6"/>
  <c r="X94" i="6" s="1"/>
  <c r="W105" i="6"/>
  <c r="X105" i="6" s="1"/>
  <c r="W199" i="6"/>
  <c r="X199" i="6" s="1"/>
  <c r="W187" i="6"/>
  <c r="X187" i="6" s="1"/>
  <c r="W175" i="6"/>
  <c r="X175" i="6" s="1"/>
  <c r="W163" i="6"/>
  <c r="X163" i="6" s="1"/>
  <c r="W151" i="6"/>
  <c r="X151" i="6" s="1"/>
  <c r="W139" i="6"/>
  <c r="X139" i="6" s="1"/>
  <c r="W115" i="6"/>
  <c r="X115" i="6" s="1"/>
  <c r="W103" i="6"/>
  <c r="X103" i="6" s="1"/>
  <c r="W67" i="6"/>
  <c r="X67" i="6" s="1"/>
  <c r="W55" i="6"/>
  <c r="X55" i="6" s="1"/>
  <c r="W43" i="6"/>
  <c r="X43" i="6" s="1"/>
  <c r="W19" i="6"/>
  <c r="X19" i="6" s="1"/>
  <c r="AA151" i="6" a="1"/>
  <c r="AA151" i="6" s="1"/>
  <c r="AB151" i="6" s="1"/>
  <c r="AC151" i="6" s="1"/>
  <c r="AA139" i="6" a="1"/>
  <c r="AA139" i="6" s="1"/>
  <c r="AB139" i="6" s="1"/>
  <c r="AC139" i="6" s="1"/>
  <c r="AA127" i="6" a="1"/>
  <c r="AA127" i="6" s="1"/>
  <c r="AB127" i="6" s="1"/>
  <c r="AC127" i="6" s="1"/>
  <c r="W142" i="6"/>
  <c r="X142" i="6" s="1"/>
  <c r="R91" i="6"/>
  <c r="W70" i="6"/>
  <c r="X70" i="6" s="1"/>
  <c r="S8" i="6"/>
  <c r="Z8" i="6" s="1"/>
  <c r="AA8" i="6" s="1" a="1"/>
  <c r="AA8" i="6" s="1"/>
  <c r="S12" i="6"/>
  <c r="Z12" i="6" s="1"/>
  <c r="AA12" i="6" s="1" a="1"/>
  <c r="AA12" i="6" s="1"/>
  <c r="AB12" i="6" s="1"/>
  <c r="AC12" i="6" s="1"/>
  <c r="S16" i="6"/>
  <c r="Z16" i="6" s="1"/>
  <c r="AA16" i="6" s="1" a="1"/>
  <c r="AA16" i="6" s="1"/>
  <c r="AB16" i="6" s="1"/>
  <c r="AC16" i="6" s="1"/>
  <c r="S20" i="6"/>
  <c r="Z20" i="6" s="1"/>
  <c r="AA20" i="6" s="1" a="1"/>
  <c r="AA20" i="6" s="1"/>
  <c r="AB20" i="6" s="1"/>
  <c r="AC20" i="6" s="1"/>
  <c r="S24" i="6"/>
  <c r="Z24" i="6" s="1"/>
  <c r="AA24" i="6" s="1" a="1"/>
  <c r="AA24" i="6" s="1"/>
  <c r="AB24" i="6" s="1"/>
  <c r="AC24" i="6" s="1"/>
  <c r="S28" i="6"/>
  <c r="Z28" i="6" s="1"/>
  <c r="AA28" i="6" s="1" a="1"/>
  <c r="AA28" i="6" s="1"/>
  <c r="AB28" i="6" s="1"/>
  <c r="AC28" i="6" s="1"/>
  <c r="S32" i="6"/>
  <c r="Z32" i="6" s="1"/>
  <c r="AA32" i="6" s="1" a="1"/>
  <c r="AA32" i="6" s="1"/>
  <c r="AB32" i="6" s="1"/>
  <c r="AC32" i="6" s="1"/>
  <c r="S60" i="6"/>
  <c r="Z60" i="6" s="1"/>
  <c r="AA60" i="6" s="1" a="1"/>
  <c r="AA60" i="6" s="1"/>
  <c r="AB60" i="6" s="1"/>
  <c r="AC60" i="6" s="1"/>
  <c r="S116" i="6"/>
  <c r="Z116" i="6" s="1"/>
  <c r="AA116" i="6" s="1" a="1"/>
  <c r="AA116" i="6" s="1"/>
  <c r="AB116" i="6" s="1"/>
  <c r="AC116" i="6" s="1"/>
  <c r="S120" i="6"/>
  <c r="Z120" i="6" s="1"/>
  <c r="AA120" i="6" s="1" a="1"/>
  <c r="AA120" i="6" s="1"/>
  <c r="AB120" i="6" s="1"/>
  <c r="AC120" i="6" s="1"/>
  <c r="S132" i="6"/>
  <c r="Z132" i="6" s="1"/>
  <c r="AA132" i="6" s="1" a="1"/>
  <c r="AA132" i="6" s="1"/>
  <c r="AB132" i="6" s="1"/>
  <c r="AC132" i="6" s="1"/>
  <c r="S140" i="6"/>
  <c r="Z140" i="6" s="1"/>
  <c r="AA140" i="6" s="1" a="1"/>
  <c r="AA140" i="6" s="1"/>
  <c r="AB140" i="6" s="1"/>
  <c r="AC140" i="6" s="1"/>
  <c r="S144" i="6"/>
  <c r="Z144" i="6" s="1"/>
  <c r="AA144" i="6" s="1" a="1"/>
  <c r="AA144" i="6" s="1"/>
  <c r="AB144" i="6" s="1"/>
  <c r="AC144" i="6" s="1"/>
  <c r="S156" i="6"/>
  <c r="Z156" i="6" s="1"/>
  <c r="AA156" i="6" s="1" a="1"/>
  <c r="AA156" i="6" s="1"/>
  <c r="AB156" i="6" s="1"/>
  <c r="AC156" i="6" s="1"/>
  <c r="S164" i="6"/>
  <c r="Z164" i="6" s="1"/>
  <c r="AA164" i="6" s="1" a="1"/>
  <c r="AA164" i="6" s="1"/>
  <c r="AB164" i="6" s="1"/>
  <c r="AC164" i="6" s="1"/>
  <c r="S168" i="6"/>
  <c r="Z168" i="6" s="1"/>
  <c r="AA168" i="6" s="1" a="1"/>
  <c r="AA168" i="6" s="1"/>
  <c r="AB168" i="6" s="1"/>
  <c r="AC168" i="6" s="1"/>
  <c r="S176" i="6"/>
  <c r="Z176" i="6" s="1"/>
  <c r="AA176" i="6" s="1" a="1"/>
  <c r="AA176" i="6" s="1"/>
  <c r="AB176" i="6" s="1"/>
  <c r="AC176" i="6" s="1"/>
  <c r="S180" i="6"/>
  <c r="Z180" i="6" s="1"/>
  <c r="S188" i="6"/>
  <c r="Z188" i="6" s="1"/>
  <c r="AA188" i="6" s="1" a="1"/>
  <c r="AA188" i="6" s="1"/>
  <c r="AB188" i="6" s="1"/>
  <c r="AC188" i="6" s="1"/>
  <c r="W166" i="6"/>
  <c r="X166" i="6" s="1"/>
  <c r="AA190" i="6" a="1"/>
  <c r="AA190" i="6" s="1"/>
  <c r="AB190" i="6" s="1"/>
  <c r="AC190" i="6" s="1"/>
  <c r="AA178" i="6" a="1"/>
  <c r="AA178" i="6" s="1"/>
  <c r="AB178" i="6" s="1"/>
  <c r="AC178" i="6" s="1"/>
  <c r="AA142" i="6" a="1"/>
  <c r="AA142" i="6" s="1"/>
  <c r="AB142" i="6" s="1"/>
  <c r="AC142" i="6" s="1"/>
  <c r="AA130" i="6" a="1"/>
  <c r="AA130" i="6" s="1"/>
  <c r="AB130" i="6" s="1"/>
  <c r="AC130" i="6" s="1"/>
  <c r="AA118" i="6" a="1"/>
  <c r="AA118" i="6" s="1"/>
  <c r="AB118" i="6" s="1"/>
  <c r="AC118" i="6" s="1"/>
  <c r="AA165" i="6" a="1"/>
  <c r="AA165" i="6" s="1"/>
  <c r="AB165" i="6" s="1"/>
  <c r="AC165" i="6" s="1"/>
  <c r="AA153" i="6" a="1"/>
  <c r="AA153" i="6" s="1"/>
  <c r="AB153" i="6" s="1"/>
  <c r="AC153" i="6" s="1"/>
  <c r="AA141" i="6" a="1"/>
  <c r="AA141" i="6" s="1"/>
  <c r="AB141" i="6" s="1"/>
  <c r="AC141" i="6" s="1"/>
  <c r="AA129" i="6" a="1"/>
  <c r="AA129" i="6" s="1"/>
  <c r="AB129" i="6" s="1"/>
  <c r="AC129" i="6" s="1"/>
  <c r="AA33" i="6" a="1"/>
  <c r="AA33" i="6" s="1"/>
  <c r="AB33" i="6" s="1"/>
  <c r="AC33" i="6" s="1"/>
  <c r="AA73" i="6" a="1"/>
  <c r="AA73" i="6" s="1"/>
  <c r="AB73" i="6" s="1"/>
  <c r="AC73" i="6" s="1"/>
  <c r="AA202" i="6" a="1"/>
  <c r="AA202" i="6" s="1"/>
  <c r="AB202" i="6" s="1"/>
  <c r="AC202" i="6" s="1"/>
  <c r="AA200" i="6" a="1"/>
  <c r="AA200" i="6" s="1"/>
  <c r="AB200" i="6" s="1"/>
  <c r="AC200" i="6" s="1"/>
  <c r="AA152" i="6" a="1"/>
  <c r="AA152" i="6" s="1"/>
  <c r="AB152" i="6" s="1"/>
  <c r="AC152" i="6" s="1"/>
  <c r="AA128" i="6" a="1"/>
  <c r="AA128" i="6" s="1"/>
  <c r="AB128" i="6" s="1"/>
  <c r="AC128" i="6" s="1"/>
  <c r="AA92" i="6" a="1"/>
  <c r="AA92" i="6" s="1"/>
  <c r="AB92" i="6" s="1"/>
  <c r="AC92" i="6" s="1"/>
  <c r="AA80" i="6" a="1"/>
  <c r="AA80" i="6" s="1"/>
  <c r="AB80" i="6" s="1"/>
  <c r="AC80" i="6" s="1"/>
  <c r="AA44" i="6" a="1"/>
  <c r="AA44" i="6" s="1"/>
  <c r="AB44" i="6" s="1"/>
  <c r="AC44" i="6" s="1"/>
  <c r="AA193" i="6" a="1"/>
  <c r="AA193" i="6" s="1"/>
  <c r="AB193" i="6" s="1"/>
  <c r="AC193" i="6" s="1"/>
  <c r="AA145" i="6" a="1"/>
  <c r="AA145" i="6" s="1"/>
  <c r="AB145" i="6" s="1"/>
  <c r="AC145" i="6" s="1"/>
  <c r="AA79" i="6" a="1"/>
  <c r="AA79" i="6" s="1"/>
  <c r="AB79" i="6" s="1"/>
  <c r="AC79" i="6" s="1"/>
  <c r="AA67" i="6" a="1"/>
  <c r="AA67" i="6" s="1"/>
  <c r="AB67" i="6" s="1"/>
  <c r="AC67" i="6" s="1"/>
  <c r="AA198" i="6" a="1"/>
  <c r="AA198" i="6" s="1"/>
  <c r="AB198" i="6" s="1"/>
  <c r="AC198" i="6" s="1"/>
  <c r="AA126" i="6" a="1"/>
  <c r="AA126" i="6" s="1"/>
  <c r="AB126" i="6" s="1"/>
  <c r="AC126" i="6" s="1"/>
  <c r="AA6" i="6" a="1"/>
  <c r="AA6" i="6" s="1"/>
  <c r="AB6" i="6" s="1"/>
  <c r="AC6" i="6" s="1"/>
  <c r="AA185" i="6" a="1"/>
  <c r="AA185" i="6" s="1"/>
  <c r="AB185" i="6" s="1"/>
  <c r="AC185" i="6" s="1"/>
  <c r="AA113" i="6" a="1"/>
  <c r="AA113" i="6" s="1"/>
  <c r="AB113" i="6" s="1"/>
  <c r="AC113" i="6" s="1"/>
  <c r="AA101" i="6" a="1"/>
  <c r="AA101" i="6" s="1"/>
  <c r="AB101" i="6" s="1"/>
  <c r="AC101" i="6" s="1"/>
  <c r="AA65" i="6" a="1"/>
  <c r="AA65" i="6" s="1"/>
  <c r="AB65" i="6" s="1"/>
  <c r="AC65" i="6" s="1"/>
  <c r="AA37" i="6" a="1"/>
  <c r="AA37" i="6" s="1"/>
  <c r="AB37" i="6" s="1"/>
  <c r="AC37" i="6" s="1"/>
  <c r="AA76" i="6" a="1"/>
  <c r="AA76" i="6" s="1"/>
  <c r="AB76" i="6" s="1"/>
  <c r="AC76" i="6" s="1"/>
  <c r="AA4" i="6" a="1"/>
  <c r="AA4" i="6" s="1"/>
  <c r="W191" i="6"/>
  <c r="X191" i="6" s="1"/>
  <c r="W167" i="6"/>
  <c r="X167" i="6" s="1"/>
  <c r="W119" i="6"/>
  <c r="X119" i="6" s="1"/>
  <c r="W102" i="6"/>
  <c r="X102" i="6" s="1"/>
  <c r="W66" i="6"/>
  <c r="X66" i="6" s="1"/>
  <c r="W30" i="6"/>
  <c r="X30" i="6" s="1"/>
  <c r="W197" i="6"/>
  <c r="X197" i="6" s="1"/>
  <c r="W113" i="6"/>
  <c r="X113" i="6" s="1"/>
  <c r="W101" i="6"/>
  <c r="X101" i="6" s="1"/>
  <c r="W89" i="6"/>
  <c r="X89" i="6" s="1"/>
  <c r="S105" i="6"/>
  <c r="Z105" i="6" s="1"/>
  <c r="AA105" i="6" s="1" a="1"/>
  <c r="AA105" i="6" s="1"/>
  <c r="AB105" i="6" s="1"/>
  <c r="AC105" i="6" s="1"/>
  <c r="R7" i="6"/>
  <c r="S19" i="6"/>
  <c r="Z19" i="6" s="1"/>
  <c r="AA19" i="6" s="1" a="1"/>
  <c r="AA19" i="6" s="1"/>
  <c r="AB19" i="6" s="1"/>
  <c r="AC19" i="6" s="1"/>
  <c r="R27" i="6"/>
  <c r="S3" i="6"/>
  <c r="R11" i="6"/>
  <c r="R15" i="6"/>
  <c r="R23" i="6"/>
  <c r="W143" i="6"/>
  <c r="X143" i="6" s="1"/>
  <c r="R62" i="6"/>
  <c r="R104" i="6"/>
  <c r="W117" i="6"/>
  <c r="X117" i="6" s="1"/>
  <c r="R115" i="6"/>
  <c r="R43" i="6"/>
  <c r="R51" i="6"/>
  <c r="R75" i="6"/>
  <c r="R83" i="6"/>
  <c r="R31" i="6"/>
  <c r="W181" i="6"/>
  <c r="X181" i="6" s="1"/>
  <c r="W169" i="6"/>
  <c r="X169" i="6" s="1"/>
  <c r="W157" i="6"/>
  <c r="X157" i="6" s="1"/>
  <c r="W145" i="6"/>
  <c r="X145" i="6" s="1"/>
  <c r="W133" i="6"/>
  <c r="X133" i="6" s="1"/>
  <c r="W121" i="6"/>
  <c r="X121" i="6" s="1"/>
  <c r="W109" i="6"/>
  <c r="X109" i="6" s="1"/>
  <c r="W97" i="6"/>
  <c r="X97" i="6" s="1"/>
  <c r="W85" i="6"/>
  <c r="X85" i="6" s="1"/>
  <c r="W73" i="6"/>
  <c r="X73" i="6" s="1"/>
  <c r="W61" i="6"/>
  <c r="X61" i="6" s="1"/>
  <c r="W49" i="6"/>
  <c r="X49" i="6" s="1"/>
  <c r="W37" i="6"/>
  <c r="X37" i="6" s="1"/>
  <c r="W25" i="6"/>
  <c r="X25" i="6" s="1"/>
  <c r="W13" i="6"/>
  <c r="X13" i="6" s="1"/>
  <c r="S81" i="6"/>
  <c r="Z81" i="6" s="1"/>
  <c r="AA81" i="6" s="1" a="1"/>
  <c r="AA81" i="6" s="1"/>
  <c r="AB81" i="6" s="1"/>
  <c r="AC81" i="6" s="1"/>
  <c r="S89" i="6"/>
  <c r="Z89" i="6" s="1"/>
  <c r="AA89" i="6" s="1" a="1"/>
  <c r="AA89" i="6" s="1"/>
  <c r="AB89" i="6" s="1"/>
  <c r="AC89" i="6" s="1"/>
  <c r="S108" i="6"/>
  <c r="Z108" i="6" s="1"/>
  <c r="AA108" i="6" s="1" a="1"/>
  <c r="AA108" i="6" s="1"/>
  <c r="AB108" i="6" s="1"/>
  <c r="AC108" i="6" s="1"/>
  <c r="R127" i="6"/>
  <c r="R139" i="6"/>
  <c r="R151" i="6"/>
  <c r="R163" i="6"/>
  <c r="R175" i="6"/>
  <c r="R183" i="6"/>
  <c r="R187" i="6"/>
  <c r="R191" i="6"/>
  <c r="R195" i="6"/>
  <c r="R199" i="6"/>
  <c r="S192" i="6"/>
  <c r="Z192" i="6" s="1"/>
  <c r="W96" i="6"/>
  <c r="X96" i="6" s="1"/>
  <c r="S55" i="6"/>
  <c r="Z55" i="6" s="1"/>
  <c r="AA55" i="6" s="1" a="1"/>
  <c r="AA55" i="6" s="1"/>
  <c r="AB55" i="6" s="1"/>
  <c r="AC55" i="6" s="1"/>
  <c r="S63" i="6"/>
  <c r="Z63" i="6" s="1"/>
  <c r="AA63" i="6" s="1" a="1"/>
  <c r="AA63" i="6" s="1"/>
  <c r="AB63" i="6" s="1"/>
  <c r="AC63" i="6" s="1"/>
  <c r="W179" i="6"/>
  <c r="X179" i="6" s="1"/>
  <c r="W155" i="6"/>
  <c r="X155" i="6" s="1"/>
  <c r="W131" i="6"/>
  <c r="X131" i="6" s="1"/>
  <c r="W107" i="6"/>
  <c r="X107" i="6" s="1"/>
  <c r="W95" i="6"/>
  <c r="X95" i="6" s="1"/>
  <c r="W83" i="6"/>
  <c r="X83" i="6" s="1"/>
  <c r="W35" i="6"/>
  <c r="X35" i="6" s="1"/>
  <c r="R78" i="6"/>
  <c r="W86" i="6"/>
  <c r="X86" i="6" s="1"/>
  <c r="W202" i="6"/>
  <c r="X202" i="6" s="1"/>
  <c r="W178" i="6"/>
  <c r="X178" i="6" s="1"/>
  <c r="W154" i="6"/>
  <c r="X154" i="6" s="1"/>
  <c r="W130" i="6"/>
  <c r="X130" i="6" s="1"/>
  <c r="W106" i="6"/>
  <c r="X106" i="6" s="1"/>
  <c r="W82" i="6"/>
  <c r="X82" i="6" s="1"/>
  <c r="W58" i="6"/>
  <c r="X58" i="6" s="1"/>
  <c r="W46" i="6"/>
  <c r="X46" i="6" s="1"/>
  <c r="W34" i="6"/>
  <c r="X34" i="6" s="1"/>
  <c r="W22" i="6"/>
  <c r="X22" i="6" s="1"/>
  <c r="W10" i="6"/>
  <c r="X10" i="6" s="1"/>
  <c r="R121" i="6"/>
  <c r="R133" i="6"/>
  <c r="R145" i="6"/>
  <c r="R157" i="6"/>
  <c r="R169" i="6"/>
  <c r="R181" i="6"/>
  <c r="R185" i="6"/>
  <c r="R189" i="6"/>
  <c r="R193" i="6"/>
  <c r="R197" i="6"/>
  <c r="R5" i="6"/>
  <c r="R21" i="6"/>
  <c r="R67" i="6"/>
  <c r="R99" i="6"/>
  <c r="R102" i="6"/>
  <c r="R110" i="6"/>
  <c r="S122" i="6"/>
  <c r="Z122" i="6" s="1"/>
  <c r="AA122" i="6" s="1" a="1"/>
  <c r="AA122" i="6" s="1"/>
  <c r="AB122" i="6" s="1"/>
  <c r="AC122" i="6" s="1"/>
  <c r="S134" i="6"/>
  <c r="Z134" i="6" s="1"/>
  <c r="AA134" i="6" s="1" a="1"/>
  <c r="AA134" i="6" s="1"/>
  <c r="AB134" i="6" s="1"/>
  <c r="AC134" i="6" s="1"/>
  <c r="S138" i="6"/>
  <c r="Z138" i="6" s="1"/>
  <c r="AA138" i="6" s="1" a="1"/>
  <c r="AA138" i="6" s="1"/>
  <c r="AB138" i="6" s="1"/>
  <c r="AC138" i="6" s="1"/>
  <c r="S146" i="6"/>
  <c r="Z146" i="6" s="1"/>
  <c r="AA146" i="6" s="1" a="1"/>
  <c r="AA146" i="6" s="1"/>
  <c r="AB146" i="6" s="1"/>
  <c r="AC146" i="6" s="1"/>
  <c r="S150" i="6"/>
  <c r="Z150" i="6" s="1"/>
  <c r="AA150" i="6" s="1" a="1"/>
  <c r="AA150" i="6" s="1"/>
  <c r="AB150" i="6" s="1"/>
  <c r="AC150" i="6" s="1"/>
  <c r="S158" i="6"/>
  <c r="Z158" i="6" s="1"/>
  <c r="AA158" i="6" s="1" a="1"/>
  <c r="AA158" i="6" s="1"/>
  <c r="AB158" i="6" s="1"/>
  <c r="AC158" i="6" s="1"/>
  <c r="S162" i="6"/>
  <c r="Z162" i="6" s="1"/>
  <c r="AA162" i="6" s="1" a="1"/>
  <c r="AA162" i="6" s="1"/>
  <c r="AB162" i="6" s="1"/>
  <c r="AC162" i="6" s="1"/>
  <c r="S170" i="6"/>
  <c r="Z170" i="6" s="1"/>
  <c r="AA170" i="6" s="1" a="1"/>
  <c r="AA170" i="6" s="1"/>
  <c r="AB170" i="6" s="1"/>
  <c r="AC170" i="6" s="1"/>
  <c r="S174" i="6"/>
  <c r="Z174" i="6" s="1"/>
  <c r="S186" i="6"/>
  <c r="Z186" i="6" s="1"/>
  <c r="AA186" i="6" s="1" a="1"/>
  <c r="AA186" i="6" s="1"/>
  <c r="AB186" i="6" s="1"/>
  <c r="AC186" i="6" s="1"/>
  <c r="R9" i="6"/>
  <c r="R13" i="6"/>
  <c r="R17" i="6"/>
  <c r="R25" i="6"/>
  <c r="R29" i="6"/>
  <c r="S41" i="6"/>
  <c r="Z41" i="6" s="1"/>
  <c r="AA41" i="6" s="1" a="1"/>
  <c r="AA41" i="6" s="1"/>
  <c r="AB41" i="6" s="1"/>
  <c r="AC41" i="6" s="1"/>
  <c r="S68" i="6"/>
  <c r="Z68" i="6" s="1"/>
  <c r="AA68" i="6" s="1" a="1"/>
  <c r="AA68" i="6" s="1"/>
  <c r="AB68" i="6" s="1"/>
  <c r="AC68" i="6" s="1"/>
  <c r="S103" i="6"/>
  <c r="Z103" i="6" s="1"/>
  <c r="AA103" i="6" s="1" a="1"/>
  <c r="AA103" i="6" s="1"/>
  <c r="AB103" i="6" s="1"/>
  <c r="AC103" i="6" s="1"/>
  <c r="R107" i="6"/>
  <c r="S111" i="6"/>
  <c r="Z111" i="6" s="1"/>
  <c r="W185" i="6"/>
  <c r="X185" i="6" s="1"/>
  <c r="W173" i="6"/>
  <c r="X173" i="6" s="1"/>
  <c r="W161" i="6"/>
  <c r="X161" i="6" s="1"/>
  <c r="W149" i="6"/>
  <c r="X149" i="6" s="1"/>
  <c r="W137" i="6"/>
  <c r="X137" i="6" s="1"/>
  <c r="W125" i="6"/>
  <c r="X125" i="6" s="1"/>
  <c r="W77" i="6"/>
  <c r="X77" i="6" s="1"/>
  <c r="W200" i="6"/>
  <c r="X200" i="6" s="1"/>
  <c r="W116" i="6"/>
  <c r="X116" i="6" s="1"/>
  <c r="W104" i="6"/>
  <c r="X104" i="6" s="1"/>
  <c r="W92" i="6"/>
  <c r="X92" i="6" s="1"/>
  <c r="W80" i="6"/>
  <c r="X80" i="6" s="1"/>
  <c r="W52" i="6"/>
  <c r="X52" i="6" s="1"/>
  <c r="W4" i="6"/>
  <c r="X4" i="6" s="1"/>
  <c r="W183" i="6"/>
  <c r="X183" i="6" s="1"/>
  <c r="W171" i="6"/>
  <c r="X171" i="6" s="1"/>
  <c r="W159" i="6"/>
  <c r="X159" i="6" s="1"/>
  <c r="W147" i="6"/>
  <c r="X147" i="6" s="1"/>
  <c r="W135" i="6"/>
  <c r="X135" i="6" s="1"/>
  <c r="W123" i="6"/>
  <c r="X123" i="6" s="1"/>
  <c r="R86" i="6"/>
  <c r="S39" i="6"/>
  <c r="Z39" i="6" s="1"/>
  <c r="AA39" i="6" s="1" a="1"/>
  <c r="AA39" i="6" s="1"/>
  <c r="AB39" i="6" s="1"/>
  <c r="AC39" i="6" s="1"/>
  <c r="S87" i="6"/>
  <c r="Z87" i="6" s="1"/>
  <c r="S109" i="6"/>
  <c r="Z109" i="6" s="1"/>
  <c r="AA109" i="6" s="1" a="1"/>
  <c r="AA109" i="6" s="1"/>
  <c r="AB109" i="6" s="1"/>
  <c r="AC109" i="6" s="1"/>
  <c r="W182" i="6"/>
  <c r="X182" i="6" s="1"/>
  <c r="W170" i="6"/>
  <c r="X170" i="6" s="1"/>
  <c r="W158" i="6"/>
  <c r="X158" i="6" s="1"/>
  <c r="W146" i="6"/>
  <c r="X146" i="6" s="1"/>
  <c r="W134" i="6"/>
  <c r="X134" i="6" s="1"/>
  <c r="W122" i="6"/>
  <c r="X122" i="6" s="1"/>
  <c r="W110" i="6"/>
  <c r="X110" i="6" s="1"/>
  <c r="W98" i="6"/>
  <c r="X98" i="6" s="1"/>
  <c r="W74" i="6"/>
  <c r="X74" i="6" s="1"/>
  <c r="W50" i="6"/>
  <c r="X50" i="6" s="1"/>
  <c r="W38" i="6"/>
  <c r="X38" i="6" s="1"/>
  <c r="W14" i="6"/>
  <c r="X14" i="6" s="1"/>
  <c r="R38" i="6"/>
  <c r="R46" i="6"/>
  <c r="R94" i="6"/>
  <c r="R124" i="6"/>
  <c r="R136" i="6"/>
  <c r="R148" i="6"/>
  <c r="R160" i="6"/>
  <c r="R172" i="6"/>
  <c r="R184" i="6"/>
  <c r="R196" i="6"/>
  <c r="R200" i="6"/>
  <c r="R35" i="6"/>
  <c r="S69" i="6"/>
  <c r="Z69" i="6" s="1"/>
  <c r="AA69" i="6" s="1" a="1"/>
  <c r="AA69" i="6" s="1"/>
  <c r="AB69" i="6" s="1"/>
  <c r="AC69" i="6" s="1"/>
  <c r="S95" i="6"/>
  <c r="Z95" i="6" s="1"/>
  <c r="S125" i="6"/>
  <c r="Z125" i="6" s="1"/>
  <c r="S137" i="6"/>
  <c r="Z137" i="6" s="1"/>
  <c r="AA137" i="6" s="1" a="1"/>
  <c r="AA137" i="6" s="1"/>
  <c r="AB137" i="6" s="1"/>
  <c r="AC137" i="6" s="1"/>
  <c r="S149" i="6"/>
  <c r="Z149" i="6" s="1"/>
  <c r="AA149" i="6" s="1" a="1"/>
  <c r="AA149" i="6" s="1"/>
  <c r="AB149" i="6" s="1"/>
  <c r="AC149" i="6" s="1"/>
  <c r="S161" i="6"/>
  <c r="Z161" i="6" s="1"/>
  <c r="AA161" i="6" s="1" a="1"/>
  <c r="AA161" i="6" s="1"/>
  <c r="AB161" i="6" s="1"/>
  <c r="AC161" i="6" s="1"/>
  <c r="S173" i="6"/>
  <c r="Z173" i="6" s="1"/>
  <c r="AA173" i="6" s="1" a="1"/>
  <c r="AA173" i="6" s="1"/>
  <c r="AB173" i="6" s="1"/>
  <c r="AC173" i="6" s="1"/>
  <c r="S177" i="6"/>
  <c r="Z177" i="6" s="1"/>
  <c r="AA177" i="6" s="1" a="1"/>
  <c r="AA177" i="6" s="1"/>
  <c r="AB177" i="6" s="1"/>
  <c r="AC177" i="6" s="1"/>
  <c r="S189" i="6"/>
  <c r="Z189" i="6" s="1"/>
  <c r="AA189" i="6" s="1" a="1"/>
  <c r="AA189" i="6" s="1"/>
  <c r="AB189" i="6" s="1"/>
  <c r="AC189" i="6" s="1"/>
  <c r="S197" i="6"/>
  <c r="Z197" i="6" s="1"/>
  <c r="AA197" i="6" s="1" a="1"/>
  <c r="AA197" i="6" s="1"/>
  <c r="AB197" i="6" s="1"/>
  <c r="AC197" i="6" s="1"/>
  <c r="S117" i="6"/>
  <c r="Z117" i="6" s="1"/>
  <c r="AA117" i="6" s="1" a="1"/>
  <c r="AA117" i="6" s="1"/>
  <c r="AB117" i="6" s="1"/>
  <c r="AC117" i="6" s="1"/>
  <c r="S36" i="6"/>
  <c r="Z36" i="6" s="1"/>
  <c r="AA36" i="6" s="1" a="1"/>
  <c r="AA36" i="6" s="1"/>
  <c r="AB36" i="6" s="1"/>
  <c r="AC36" i="6" s="1"/>
  <c r="R54" i="6"/>
  <c r="W201" i="6"/>
  <c r="X201" i="6" s="1"/>
  <c r="W189" i="6"/>
  <c r="X189" i="6" s="1"/>
  <c r="W177" i="6"/>
  <c r="X177" i="6" s="1"/>
  <c r="W165" i="6"/>
  <c r="X165" i="6" s="1"/>
  <c r="W153" i="6"/>
  <c r="X153" i="6" s="1"/>
  <c r="W141" i="6"/>
  <c r="X141" i="6" s="1"/>
  <c r="W129" i="6"/>
  <c r="X129" i="6" s="1"/>
  <c r="W81" i="6"/>
  <c r="X81" i="6" s="1"/>
  <c r="W69" i="6"/>
  <c r="X69" i="6" s="1"/>
  <c r="W9" i="6"/>
  <c r="X9" i="6" s="1"/>
  <c r="W188" i="6"/>
  <c r="X188" i="6" s="1"/>
  <c r="W176" i="6"/>
  <c r="X176" i="6" s="1"/>
  <c r="W164" i="6"/>
  <c r="X164" i="6" s="1"/>
  <c r="W152" i="6"/>
  <c r="X152" i="6" s="1"/>
  <c r="W140" i="6"/>
  <c r="X140" i="6" s="1"/>
  <c r="W128" i="6"/>
  <c r="X128" i="6" s="1"/>
  <c r="R202" i="6"/>
  <c r="S10" i="6"/>
  <c r="Z10" i="6" s="1"/>
  <c r="AA10" i="6" s="1" a="1"/>
  <c r="AA10" i="6" s="1"/>
  <c r="AB10" i="6" s="1"/>
  <c r="AC10" i="6" s="1"/>
  <c r="S18" i="6"/>
  <c r="Z18" i="6" s="1"/>
  <c r="AA18" i="6" s="1" a="1"/>
  <c r="AA18" i="6" s="1"/>
  <c r="AB18" i="6" s="1"/>
  <c r="AC18" i="6" s="1"/>
  <c r="S22" i="6"/>
  <c r="Z22" i="6" s="1"/>
  <c r="AA22" i="6" s="1" a="1"/>
  <c r="AA22" i="6" s="1"/>
  <c r="AB22" i="6" s="1"/>
  <c r="AC22" i="6" s="1"/>
  <c r="S26" i="6"/>
  <c r="Z26" i="6" s="1"/>
  <c r="AA26" i="6" s="1" a="1"/>
  <c r="AA26" i="6" s="1"/>
  <c r="AB26" i="6" s="1"/>
  <c r="AC26" i="6" s="1"/>
  <c r="S30" i="6"/>
  <c r="Z30" i="6" s="1"/>
  <c r="AA30" i="6" s="1" a="1"/>
  <c r="AA30" i="6" s="1"/>
  <c r="AB30" i="6" s="1"/>
  <c r="AC30" i="6" s="1"/>
  <c r="S52" i="6"/>
  <c r="Z52" i="6" s="1"/>
  <c r="AA52" i="6" s="1" a="1"/>
  <c r="AA52" i="6" s="1"/>
  <c r="AB52" i="6" s="1"/>
  <c r="AC52" i="6" s="1"/>
  <c r="R70" i="6"/>
  <c r="R96" i="6"/>
  <c r="S100" i="6"/>
  <c r="Z100" i="6" s="1"/>
  <c r="AA100" i="6" s="1" a="1"/>
  <c r="AA100" i="6" s="1"/>
  <c r="AB100" i="6" s="1"/>
  <c r="AC100" i="6" s="1"/>
  <c r="R118" i="6"/>
  <c r="R130" i="6"/>
  <c r="R142" i="6"/>
  <c r="R154" i="6"/>
  <c r="R166" i="6"/>
  <c r="R178" i="6"/>
  <c r="R190" i="6"/>
  <c r="S45" i="6"/>
  <c r="Z45" i="6" s="1"/>
  <c r="AA45" i="6" s="1" a="1"/>
  <c r="AA45" i="6" s="1"/>
  <c r="AB45" i="6" s="1"/>
  <c r="AC45" i="6" s="1"/>
  <c r="S49" i="6"/>
  <c r="Z49" i="6" s="1"/>
  <c r="AA49" i="6" s="1" a="1"/>
  <c r="AA49" i="6" s="1"/>
  <c r="AB49" i="6" s="1"/>
  <c r="AC49" i="6" s="1"/>
  <c r="R59" i="6"/>
  <c r="S71" i="6"/>
  <c r="Z71" i="6" s="1"/>
  <c r="AA71" i="6" s="1" a="1"/>
  <c r="AA71" i="6" s="1"/>
  <c r="AB71" i="6" s="1"/>
  <c r="AC71" i="6" s="1"/>
  <c r="S93" i="6"/>
  <c r="Z93" i="6" s="1"/>
  <c r="AA93" i="6" s="1" a="1"/>
  <c r="AA93" i="6" s="1"/>
  <c r="AB93" i="6" s="1"/>
  <c r="AC93" i="6" s="1"/>
  <c r="S97" i="6"/>
  <c r="Z97" i="6" s="1"/>
  <c r="AA97" i="6" s="1" a="1"/>
  <c r="AA97" i="6" s="1"/>
  <c r="AB97" i="6" s="1"/>
  <c r="AC97" i="6" s="1"/>
  <c r="S119" i="6"/>
  <c r="Z119" i="6" s="1"/>
  <c r="AA119" i="6" s="1" a="1"/>
  <c r="AA119" i="6" s="1"/>
  <c r="AB119" i="6" s="1"/>
  <c r="AC119" i="6" s="1"/>
  <c r="S131" i="6"/>
  <c r="Z131" i="6" s="1"/>
  <c r="AA131" i="6" s="1" a="1"/>
  <c r="AA131" i="6" s="1"/>
  <c r="AB131" i="6" s="1"/>
  <c r="AC131" i="6" s="1"/>
  <c r="S135" i="6"/>
  <c r="Z135" i="6" s="1"/>
  <c r="AA135" i="6" s="1" a="1"/>
  <c r="AA135" i="6" s="1"/>
  <c r="AB135" i="6" s="1"/>
  <c r="AC135" i="6" s="1"/>
  <c r="S147" i="6"/>
  <c r="Z147" i="6" s="1"/>
  <c r="AA147" i="6" s="1" a="1"/>
  <c r="AA147" i="6" s="1"/>
  <c r="AB147" i="6" s="1"/>
  <c r="AC147" i="6" s="1"/>
  <c r="S155" i="6"/>
  <c r="Z155" i="6" s="1"/>
  <c r="AA155" i="6" s="1" a="1"/>
  <c r="AA155" i="6" s="1"/>
  <c r="AB155" i="6" s="1"/>
  <c r="AC155" i="6" s="1"/>
  <c r="S167" i="6"/>
  <c r="Z167" i="6" s="1"/>
  <c r="S179" i="6"/>
  <c r="Z179" i="6" s="1"/>
  <c r="AA179" i="6" s="1" a="1"/>
  <c r="AA179" i="6" s="1"/>
  <c r="AB179" i="6" s="1"/>
  <c r="AC179" i="6" s="1"/>
  <c r="S183" i="6"/>
  <c r="Z183" i="6" s="1"/>
  <c r="S195" i="6"/>
  <c r="Z195" i="6" s="1"/>
  <c r="AA195" i="6" s="1" a="1"/>
  <c r="AA195" i="6" s="1"/>
  <c r="AB195" i="6" s="1"/>
  <c r="AC195" i="6" s="1"/>
  <c r="W186" i="6"/>
  <c r="X186" i="6" s="1"/>
  <c r="W174" i="6"/>
  <c r="X174" i="6" s="1"/>
  <c r="W162" i="6"/>
  <c r="X162" i="6" s="1"/>
  <c r="W150" i="6"/>
  <c r="X150" i="6" s="1"/>
  <c r="W138" i="6"/>
  <c r="X138" i="6" s="1"/>
  <c r="W114" i="6"/>
  <c r="X114" i="6" s="1"/>
  <c r="W120" i="6"/>
  <c r="X120" i="6" s="1"/>
  <c r="W192" i="6"/>
  <c r="X192" i="6" s="1"/>
  <c r="W193" i="6"/>
  <c r="X193" i="6" s="1"/>
  <c r="W194" i="6"/>
  <c r="X194" i="6" s="1"/>
  <c r="W195" i="6"/>
  <c r="X195" i="6" s="1"/>
  <c r="W45" i="6"/>
  <c r="X45" i="6" s="1"/>
  <c r="W126" i="6"/>
  <c r="X126" i="6" s="1"/>
  <c r="W198" i="6"/>
  <c r="X198" i="6" s="1"/>
  <c r="W20" i="6"/>
  <c r="X20" i="6" s="1"/>
  <c r="W62" i="6"/>
  <c r="X62" i="6" s="1"/>
  <c r="W12" i="6"/>
  <c r="X12" i="6" s="1"/>
  <c r="W48" i="6"/>
  <c r="X48" i="6" s="1"/>
  <c r="W53" i="6"/>
  <c r="X53" i="6" s="1"/>
  <c r="W84" i="6"/>
  <c r="X84" i="6" s="1"/>
  <c r="W87" i="6"/>
  <c r="X87" i="6" s="1"/>
  <c r="W41" i="6"/>
  <c r="X41" i="6" s="1"/>
  <c r="W108" i="6"/>
  <c r="X108" i="6" s="1"/>
  <c r="W57" i="6"/>
  <c r="X57" i="6" s="1"/>
  <c r="W11" i="6"/>
  <c r="X11" i="6" s="1"/>
  <c r="W36" i="6"/>
  <c r="X36" i="6" s="1"/>
  <c r="W27" i="6"/>
  <c r="X27" i="6" s="1"/>
  <c r="W54" i="6"/>
  <c r="X54" i="6" s="1"/>
  <c r="W59" i="6"/>
  <c r="X59" i="6" s="1"/>
  <c r="W90" i="6"/>
  <c r="X90" i="6" s="1"/>
  <c r="W15" i="6"/>
  <c r="X15" i="6" s="1"/>
  <c r="W56" i="6"/>
  <c r="X56" i="6" s="1"/>
  <c r="W21" i="6"/>
  <c r="X21" i="6" s="1"/>
  <c r="W47" i="6"/>
  <c r="X47" i="6" s="1"/>
  <c r="W78" i="6"/>
  <c r="X78" i="6" s="1"/>
  <c r="W32" i="6"/>
  <c r="X32" i="6" s="1"/>
  <c r="W68" i="6"/>
  <c r="X68" i="6" s="1"/>
  <c r="W99" i="6"/>
  <c r="X99" i="6" s="1"/>
  <c r="W17" i="6"/>
  <c r="X17" i="6" s="1"/>
  <c r="W33" i="6"/>
  <c r="X33" i="6" s="1"/>
  <c r="W18" i="6"/>
  <c r="X18" i="6" s="1"/>
  <c r="W3" i="6"/>
  <c r="X3" i="6" s="1"/>
  <c r="W8" i="6"/>
  <c r="X8" i="6" s="1"/>
  <c r="W39" i="6"/>
  <c r="X39" i="6" s="1"/>
  <c r="W44" i="6"/>
  <c r="X44" i="6" s="1"/>
  <c r="W75" i="6"/>
  <c r="X75" i="6" s="1"/>
  <c r="W111" i="6"/>
  <c r="X111" i="6" s="1"/>
  <c r="W51" i="6"/>
  <c r="X51" i="6" s="1"/>
  <c r="W5" i="6"/>
  <c r="X5" i="6" s="1"/>
  <c r="W72" i="6"/>
  <c r="X72" i="6" s="1"/>
  <c r="W26" i="6"/>
  <c r="X26" i="6" s="1"/>
  <c r="W93" i="6"/>
  <c r="X93" i="6" s="1"/>
  <c r="W6" i="6"/>
  <c r="X6" i="6" s="1"/>
  <c r="W42" i="6"/>
  <c r="X42" i="6" s="1"/>
  <c r="W63" i="6"/>
  <c r="X63" i="6" s="1"/>
  <c r="W23" i="6"/>
  <c r="X23" i="6" s="1"/>
  <c r="W24" i="6"/>
  <c r="X24" i="6" s="1"/>
  <c r="W29" i="6"/>
  <c r="X29" i="6" s="1"/>
  <c r="W60" i="6"/>
  <c r="X60" i="6" s="1"/>
  <c r="W65" i="6"/>
  <c r="X65" i="6" s="1"/>
  <c r="R3" i="6"/>
  <c r="R19" i="6"/>
  <c r="R49" i="6"/>
  <c r="R65" i="6"/>
  <c r="S5" i="6"/>
  <c r="Z5" i="6" s="1"/>
  <c r="S7" i="6"/>
  <c r="Z7" i="6" s="1"/>
  <c r="AA7" i="6" s="1" a="1"/>
  <c r="AA7" i="6" s="1"/>
  <c r="AB7" i="6" s="1"/>
  <c r="AC7" i="6" s="1"/>
  <c r="S9" i="6"/>
  <c r="Z9" i="6" s="1"/>
  <c r="AA9" i="6" s="1" a="1"/>
  <c r="AA9" i="6" s="1"/>
  <c r="AB9" i="6" s="1"/>
  <c r="AC9" i="6" s="1"/>
  <c r="S11" i="6"/>
  <c r="Z11" i="6" s="1"/>
  <c r="AA11" i="6" s="1" a="1"/>
  <c r="AA11" i="6" s="1"/>
  <c r="AB11" i="6" s="1"/>
  <c r="AC11" i="6" s="1"/>
  <c r="S13" i="6"/>
  <c r="Z13" i="6" s="1"/>
  <c r="S15" i="6"/>
  <c r="Z15" i="6" s="1"/>
  <c r="AA15" i="6" s="1" a="1"/>
  <c r="AA15" i="6" s="1"/>
  <c r="AB15" i="6" s="1"/>
  <c r="AC15" i="6" s="1"/>
  <c r="S17" i="6"/>
  <c r="Z17" i="6" s="1"/>
  <c r="AA17" i="6" s="1" a="1"/>
  <c r="AA17" i="6" s="1"/>
  <c r="AB17" i="6" s="1"/>
  <c r="AC17" i="6" s="1"/>
  <c r="S21" i="6"/>
  <c r="Z21" i="6" s="1"/>
  <c r="AA21" i="6" s="1" a="1"/>
  <c r="AA21" i="6" s="1"/>
  <c r="AB21" i="6" s="1"/>
  <c r="AC21" i="6" s="1"/>
  <c r="S23" i="6"/>
  <c r="Z23" i="6" s="1"/>
  <c r="AA23" i="6" s="1" a="1"/>
  <c r="AA23" i="6" s="1"/>
  <c r="AB23" i="6" s="1"/>
  <c r="AC23" i="6" s="1"/>
  <c r="S25" i="6"/>
  <c r="Z25" i="6" s="1"/>
  <c r="AA25" i="6" s="1" a="1"/>
  <c r="AA25" i="6" s="1"/>
  <c r="AB25" i="6" s="1"/>
  <c r="AC25" i="6" s="1"/>
  <c r="S27" i="6"/>
  <c r="Z27" i="6" s="1"/>
  <c r="S29" i="6"/>
  <c r="Z29" i="6" s="1"/>
  <c r="AA29" i="6" s="1" a="1"/>
  <c r="AA29" i="6" s="1"/>
  <c r="AB29" i="6" s="1"/>
  <c r="AC29" i="6" s="1"/>
  <c r="S31" i="6"/>
  <c r="Z31" i="6" s="1"/>
  <c r="AA31" i="6" s="1" a="1"/>
  <c r="AA31" i="6" s="1"/>
  <c r="AB31" i="6" s="1"/>
  <c r="AC31" i="6" s="1"/>
  <c r="S34" i="6"/>
  <c r="Z34" i="6" s="1"/>
  <c r="AA34" i="6" s="1" a="1"/>
  <c r="AA34" i="6" s="1"/>
  <c r="AB34" i="6" s="1"/>
  <c r="AC34" i="6" s="1"/>
  <c r="R36" i="6"/>
  <c r="S42" i="6"/>
  <c r="Z42" i="6" s="1"/>
  <c r="AA42" i="6" s="1" a="1"/>
  <c r="AA42" i="6" s="1"/>
  <c r="AB42" i="6" s="1"/>
  <c r="AC42" i="6" s="1"/>
  <c r="R44" i="6"/>
  <c r="S50" i="6"/>
  <c r="Z50" i="6" s="1"/>
  <c r="AA50" i="6" s="1" a="1"/>
  <c r="AA50" i="6" s="1"/>
  <c r="AB50" i="6" s="1"/>
  <c r="AC50" i="6" s="1"/>
  <c r="R52" i="6"/>
  <c r="S58" i="6"/>
  <c r="Z58" i="6" s="1"/>
  <c r="AA58" i="6" s="1" a="1"/>
  <c r="AA58" i="6" s="1"/>
  <c r="AB58" i="6" s="1"/>
  <c r="AC58" i="6" s="1"/>
  <c r="R60" i="6"/>
  <c r="S66" i="6"/>
  <c r="Z66" i="6" s="1"/>
  <c r="AA66" i="6" s="1" a="1"/>
  <c r="AA66" i="6" s="1"/>
  <c r="AB66" i="6" s="1"/>
  <c r="AC66" i="6" s="1"/>
  <c r="R68" i="6"/>
  <c r="S74" i="6"/>
  <c r="Z74" i="6" s="1"/>
  <c r="AA74" i="6" s="1" a="1"/>
  <c r="AA74" i="6" s="1"/>
  <c r="AB74" i="6" s="1"/>
  <c r="AC74" i="6" s="1"/>
  <c r="R76" i="6"/>
  <c r="S82" i="6"/>
  <c r="Z82" i="6" s="1"/>
  <c r="AA82" i="6" s="1" a="1"/>
  <c r="AA82" i="6" s="1"/>
  <c r="AB82" i="6" s="1"/>
  <c r="AC82" i="6" s="1"/>
  <c r="R84" i="6"/>
  <c r="S90" i="6"/>
  <c r="Z90" i="6" s="1"/>
  <c r="R92" i="6"/>
  <c r="S98" i="6"/>
  <c r="Z98" i="6" s="1"/>
  <c r="AA98" i="6" s="1" a="1"/>
  <c r="AA98" i="6" s="1"/>
  <c r="AB98" i="6" s="1"/>
  <c r="AC98" i="6" s="1"/>
  <c r="R100" i="6"/>
  <c r="S106" i="6"/>
  <c r="Z106" i="6" s="1"/>
  <c r="AA106" i="6" s="1" a="1"/>
  <c r="AA106" i="6" s="1"/>
  <c r="AB106" i="6" s="1"/>
  <c r="AC106" i="6" s="1"/>
  <c r="R108" i="6"/>
  <c r="S114" i="6"/>
  <c r="Z114" i="6" s="1"/>
  <c r="AA114" i="6" s="1" a="1"/>
  <c r="AA114" i="6" s="1"/>
  <c r="AB114" i="6" s="1"/>
  <c r="AC114" i="6" s="1"/>
  <c r="R116" i="6"/>
  <c r="R119" i="6"/>
  <c r="R122" i="6"/>
  <c r="R125" i="6"/>
  <c r="R128" i="6"/>
  <c r="R131" i="6"/>
  <c r="R134" i="6"/>
  <c r="R137" i="6"/>
  <c r="R140" i="6"/>
  <c r="R143" i="6"/>
  <c r="R146" i="6"/>
  <c r="R149" i="6"/>
  <c r="R152" i="6"/>
  <c r="R155" i="6"/>
  <c r="R158" i="6"/>
  <c r="R161" i="6"/>
  <c r="R164" i="6"/>
  <c r="R167" i="6"/>
  <c r="R170" i="6"/>
  <c r="R173" i="6"/>
  <c r="R176" i="6"/>
  <c r="R179" i="6"/>
  <c r="R182" i="6"/>
  <c r="R188" i="6"/>
  <c r="R194" i="6"/>
  <c r="R41" i="6"/>
  <c r="R73" i="6"/>
  <c r="R81" i="6"/>
  <c r="R113" i="6"/>
  <c r="R47" i="6"/>
  <c r="R55" i="6"/>
  <c r="R63" i="6"/>
  <c r="R71" i="6"/>
  <c r="R79" i="6"/>
  <c r="R87" i="6"/>
  <c r="R95" i="6"/>
  <c r="R103" i="6"/>
  <c r="R111" i="6"/>
  <c r="R57" i="6"/>
  <c r="R89" i="6"/>
  <c r="R105" i="6"/>
  <c r="R34" i="6"/>
  <c r="S40" i="6"/>
  <c r="Z40" i="6" s="1"/>
  <c r="AA40" i="6" s="1" a="1"/>
  <c r="AA40" i="6" s="1"/>
  <c r="AB40" i="6" s="1"/>
  <c r="AC40" i="6" s="1"/>
  <c r="R42" i="6"/>
  <c r="S48" i="6"/>
  <c r="Z48" i="6" s="1"/>
  <c r="AA48" i="6" s="1" a="1"/>
  <c r="AA48" i="6" s="1"/>
  <c r="AB48" i="6" s="1"/>
  <c r="AC48" i="6" s="1"/>
  <c r="R50" i="6"/>
  <c r="S56" i="6"/>
  <c r="Z56" i="6" s="1"/>
  <c r="AA56" i="6" s="1" a="1"/>
  <c r="AA56" i="6" s="1"/>
  <c r="AB56" i="6" s="1"/>
  <c r="AC56" i="6" s="1"/>
  <c r="R58" i="6"/>
  <c r="S64" i="6"/>
  <c r="Z64" i="6" s="1"/>
  <c r="R66" i="6"/>
  <c r="S72" i="6"/>
  <c r="Z72" i="6" s="1"/>
  <c r="AA72" i="6" s="1" a="1"/>
  <c r="AA72" i="6" s="1"/>
  <c r="AB72" i="6" s="1"/>
  <c r="AC72" i="6" s="1"/>
  <c r="R74" i="6"/>
  <c r="R82" i="6"/>
  <c r="S88" i="6"/>
  <c r="Z88" i="6" s="1"/>
  <c r="AA88" i="6" s="1" a="1"/>
  <c r="AA88" i="6" s="1"/>
  <c r="AB88" i="6" s="1"/>
  <c r="AC88" i="6" s="1"/>
  <c r="R90" i="6"/>
  <c r="R98" i="6"/>
  <c r="S104" i="6"/>
  <c r="Z104" i="6" s="1"/>
  <c r="AA104" i="6" s="1" a="1"/>
  <c r="AA104" i="6" s="1"/>
  <c r="AB104" i="6" s="1"/>
  <c r="AC104" i="6" s="1"/>
  <c r="R106" i="6"/>
  <c r="S112" i="6"/>
  <c r="Z112" i="6" s="1"/>
  <c r="AA112" i="6" s="1" a="1"/>
  <c r="AA112" i="6" s="1"/>
  <c r="AB112" i="6" s="1"/>
  <c r="AC112" i="6" s="1"/>
  <c r="R114" i="6"/>
  <c r="S43" i="6"/>
  <c r="Z43" i="6" s="1"/>
  <c r="S51" i="6"/>
  <c r="Z51" i="6" s="1"/>
  <c r="AA51" i="6" s="1" a="1"/>
  <c r="AA51" i="6" s="1"/>
  <c r="AB51" i="6" s="1"/>
  <c r="AC51" i="6" s="1"/>
  <c r="S75" i="6"/>
  <c r="Z75" i="6" s="1"/>
  <c r="AA75" i="6" s="1" a="1"/>
  <c r="AA75" i="6" s="1"/>
  <c r="AB75" i="6" s="1"/>
  <c r="AC75" i="6" s="1"/>
  <c r="S83" i="6"/>
  <c r="Z83" i="6" s="1"/>
  <c r="AA83" i="6" s="1" a="1"/>
  <c r="AA83" i="6" s="1"/>
  <c r="AB83" i="6" s="1"/>
  <c r="AC83" i="6" s="1"/>
  <c r="S91" i="6"/>
  <c r="Z91" i="6" s="1"/>
  <c r="S99" i="6"/>
  <c r="Z99" i="6" s="1"/>
  <c r="AA99" i="6" s="1" a="1"/>
  <c r="AA99" i="6" s="1"/>
  <c r="AB99" i="6" s="1"/>
  <c r="AC99" i="6" s="1"/>
  <c r="S107" i="6"/>
  <c r="Z107" i="6" s="1"/>
  <c r="S115" i="6"/>
  <c r="Z115" i="6" s="1"/>
  <c r="AA115" i="6" s="1" a="1"/>
  <c r="AA115" i="6" s="1"/>
  <c r="AB115" i="6" s="1"/>
  <c r="AC115" i="6" s="1"/>
  <c r="R117" i="6"/>
  <c r="R120" i="6"/>
  <c r="R123" i="6"/>
  <c r="R126" i="6"/>
  <c r="R129" i="6"/>
  <c r="R132" i="6"/>
  <c r="R135" i="6"/>
  <c r="R138" i="6"/>
  <c r="R141" i="6"/>
  <c r="R144" i="6"/>
  <c r="R147" i="6"/>
  <c r="R150" i="6"/>
  <c r="R153" i="6"/>
  <c r="R156" i="6"/>
  <c r="R159" i="6"/>
  <c r="R162" i="6"/>
  <c r="R165" i="6"/>
  <c r="R168" i="6"/>
  <c r="R171" i="6"/>
  <c r="R174" i="6"/>
  <c r="R177" i="6"/>
  <c r="R180" i="6"/>
  <c r="R186" i="6"/>
  <c r="R192" i="6"/>
  <c r="R198" i="6"/>
  <c r="R97" i="6"/>
  <c r="R39" i="6"/>
  <c r="R4" i="6"/>
  <c r="R6" i="6"/>
  <c r="R8" i="6"/>
  <c r="R10" i="6"/>
  <c r="R12" i="6"/>
  <c r="R14" i="6"/>
  <c r="R16" i="6"/>
  <c r="R18" i="6"/>
  <c r="R20" i="6"/>
  <c r="R22" i="6"/>
  <c r="R24" i="6"/>
  <c r="R26" i="6"/>
  <c r="R28" i="6"/>
  <c r="R30" i="6"/>
  <c r="R32" i="6"/>
  <c r="R37" i="6"/>
  <c r="R45" i="6"/>
  <c r="R53" i="6"/>
  <c r="R61" i="6"/>
  <c r="R69" i="6"/>
  <c r="R77" i="6"/>
  <c r="R85" i="6"/>
  <c r="R93" i="6"/>
  <c r="R101" i="6"/>
  <c r="R109" i="6"/>
  <c r="S121" i="6"/>
  <c r="Z121" i="6" s="1"/>
  <c r="AA121" i="6" s="1" a="1"/>
  <c r="AA121" i="6" s="1"/>
  <c r="AB121" i="6" s="1"/>
  <c r="AC121" i="6" s="1"/>
  <c r="S124" i="6"/>
  <c r="Z124" i="6" s="1"/>
  <c r="AA124" i="6" s="1" a="1"/>
  <c r="AA124" i="6" s="1"/>
  <c r="AB124" i="6" s="1"/>
  <c r="AC124" i="6" s="1"/>
  <c r="S133" i="6"/>
  <c r="Z133" i="6" s="1"/>
  <c r="AA133" i="6" s="1" a="1"/>
  <c r="AA133" i="6" s="1"/>
  <c r="AB133" i="6" s="1"/>
  <c r="AC133" i="6" s="1"/>
  <c r="S136" i="6"/>
  <c r="Z136" i="6" s="1"/>
  <c r="AA136" i="6" s="1" a="1"/>
  <c r="AA136" i="6" s="1"/>
  <c r="AB136" i="6" s="1"/>
  <c r="AC136" i="6" s="1"/>
  <c r="S148" i="6"/>
  <c r="Z148" i="6" s="1"/>
  <c r="AA148" i="6" s="1" a="1"/>
  <c r="AA148" i="6" s="1"/>
  <c r="AB148" i="6" s="1"/>
  <c r="AC148" i="6" s="1"/>
  <c r="S154" i="6"/>
  <c r="Z154" i="6" s="1"/>
  <c r="AA154" i="6" s="1" a="1"/>
  <c r="AA154" i="6" s="1"/>
  <c r="AB154" i="6" s="1"/>
  <c r="AC154" i="6" s="1"/>
  <c r="S157" i="6"/>
  <c r="Z157" i="6" s="1"/>
  <c r="AA157" i="6" s="1" a="1"/>
  <c r="AA157" i="6" s="1"/>
  <c r="AB157" i="6" s="1"/>
  <c r="AC157" i="6" s="1"/>
  <c r="S160" i="6"/>
  <c r="Z160" i="6" s="1"/>
  <c r="AA160" i="6" s="1" a="1"/>
  <c r="AA160" i="6" s="1"/>
  <c r="AB160" i="6" s="1"/>
  <c r="AC160" i="6" s="1"/>
  <c r="S163" i="6"/>
  <c r="Z163" i="6" s="1"/>
  <c r="AA163" i="6" s="1" a="1"/>
  <c r="AA163" i="6" s="1"/>
  <c r="AB163" i="6" s="1"/>
  <c r="AC163" i="6" s="1"/>
  <c r="S166" i="6"/>
  <c r="Z166" i="6" s="1"/>
  <c r="AA166" i="6" s="1" a="1"/>
  <c r="AA166" i="6" s="1"/>
  <c r="AB166" i="6" s="1"/>
  <c r="AC166" i="6" s="1"/>
  <c r="S169" i="6"/>
  <c r="Z169" i="6" s="1"/>
  <c r="S172" i="6"/>
  <c r="Z172" i="6" s="1"/>
  <c r="AA172" i="6" s="1" a="1"/>
  <c r="AA172" i="6" s="1"/>
  <c r="AB172" i="6" s="1"/>
  <c r="AC172" i="6" s="1"/>
  <c r="S175" i="6"/>
  <c r="Z175" i="6" s="1"/>
  <c r="AA175" i="6" s="1" a="1"/>
  <c r="AA175" i="6" s="1"/>
  <c r="AB175" i="6" s="1"/>
  <c r="AC175" i="6" s="1"/>
  <c r="S181" i="6"/>
  <c r="Z181" i="6" s="1"/>
  <c r="S184" i="6"/>
  <c r="Z184" i="6" s="1"/>
  <c r="AA184" i="6" s="1" a="1"/>
  <c r="AA184" i="6" s="1"/>
  <c r="AB184" i="6" s="1"/>
  <c r="AC184" i="6" s="1"/>
  <c r="S187" i="6"/>
  <c r="Z187" i="6" s="1"/>
  <c r="AA187" i="6" s="1" a="1"/>
  <c r="AA187" i="6" s="1"/>
  <c r="AB187" i="6" s="1"/>
  <c r="AC187" i="6" s="1"/>
  <c r="S196" i="6"/>
  <c r="Z196" i="6" s="1"/>
  <c r="AA196" i="6" s="1" a="1"/>
  <c r="AA196" i="6" s="1"/>
  <c r="AB196" i="6" s="1"/>
  <c r="AC196" i="6" s="1"/>
  <c r="S199" i="6"/>
  <c r="Z199" i="6" s="1"/>
  <c r="AA199" i="6" s="1" a="1"/>
  <c r="AA199" i="6" s="1"/>
  <c r="AB199" i="6" s="1"/>
  <c r="AC199" i="6" s="1"/>
  <c r="R33" i="6"/>
  <c r="S38" i="6"/>
  <c r="Z38" i="6" s="1"/>
  <c r="AA38" i="6" s="1" a="1"/>
  <c r="AA38" i="6" s="1"/>
  <c r="AB38" i="6" s="1"/>
  <c r="AC38" i="6" s="1"/>
  <c r="R40" i="6"/>
  <c r="S46" i="6"/>
  <c r="Z46" i="6" s="1"/>
  <c r="AA46" i="6" s="1" a="1"/>
  <c r="AA46" i="6" s="1"/>
  <c r="AB46" i="6" s="1"/>
  <c r="AC46" i="6" s="1"/>
  <c r="R48" i="6"/>
  <c r="S54" i="6"/>
  <c r="Z54" i="6" s="1"/>
  <c r="AA54" i="6" s="1" a="1"/>
  <c r="AA54" i="6" s="1"/>
  <c r="AB54" i="6" s="1"/>
  <c r="AC54" i="6" s="1"/>
  <c r="R56" i="6"/>
  <c r="R64" i="6"/>
  <c r="S70" i="6"/>
  <c r="Z70" i="6" s="1"/>
  <c r="R72" i="6"/>
  <c r="S78" i="6"/>
  <c r="Z78" i="6" s="1"/>
  <c r="AA78" i="6" s="1" a="1"/>
  <c r="AA78" i="6" s="1"/>
  <c r="AB78" i="6" s="1"/>
  <c r="AC78" i="6" s="1"/>
  <c r="R80" i="6"/>
  <c r="R88" i="6"/>
  <c r="S94" i="6"/>
  <c r="Z94" i="6" s="1"/>
  <c r="AA94" i="6" s="1" a="1"/>
  <c r="AA94" i="6" s="1"/>
  <c r="AB94" i="6" s="1"/>
  <c r="AC94" i="6" s="1"/>
  <c r="S102" i="6"/>
  <c r="Z102" i="6" s="1"/>
  <c r="AA102" i="6" s="1" a="1"/>
  <c r="AA102" i="6" s="1"/>
  <c r="AB102" i="6" s="1"/>
  <c r="AC102" i="6" s="1"/>
  <c r="R112" i="6"/>
  <c r="R201" i="6"/>
  <c r="AD176" i="6" l="1"/>
  <c r="AE176" i="6"/>
  <c r="AD54" i="6"/>
  <c r="AE54" i="6"/>
  <c r="AD39" i="6"/>
  <c r="AE39" i="6"/>
  <c r="AD20" i="6"/>
  <c r="AE20" i="6"/>
  <c r="AD114" i="6"/>
  <c r="AE114" i="6"/>
  <c r="AD71" i="6"/>
  <c r="AE71" i="6"/>
  <c r="AD108" i="6"/>
  <c r="AE108" i="6"/>
  <c r="AD102" i="6"/>
  <c r="AE102" i="6"/>
  <c r="AD98" i="6"/>
  <c r="AE98" i="6"/>
  <c r="AD45" i="6"/>
  <c r="AE45" i="6"/>
  <c r="AD154" i="6"/>
  <c r="AE154" i="6"/>
  <c r="AD99" i="6"/>
  <c r="AE99" i="6"/>
  <c r="AD42" i="6"/>
  <c r="AE42" i="6"/>
  <c r="AD22" i="6"/>
  <c r="AE22" i="6"/>
  <c r="AD187" i="6"/>
  <c r="AE187" i="6"/>
  <c r="AD136" i="6"/>
  <c r="AE136" i="6"/>
  <c r="AD83" i="6"/>
  <c r="AE83" i="6"/>
  <c r="AD82" i="6"/>
  <c r="AE82" i="6"/>
  <c r="AD34" i="6"/>
  <c r="AE34" i="6"/>
  <c r="AD7" i="6"/>
  <c r="AE7" i="6"/>
  <c r="AD135" i="6"/>
  <c r="AE135" i="6"/>
  <c r="AD10" i="6"/>
  <c r="AE10" i="6"/>
  <c r="AD173" i="6"/>
  <c r="AE173" i="6"/>
  <c r="AD138" i="6"/>
  <c r="AE138" i="6"/>
  <c r="AD6" i="6"/>
  <c r="AE6" i="6"/>
  <c r="AD128" i="6"/>
  <c r="AE128" i="6"/>
  <c r="AD118" i="6"/>
  <c r="AE118" i="6"/>
  <c r="AD12" i="6"/>
  <c r="AE12" i="6"/>
  <c r="AD84" i="6"/>
  <c r="AE84" i="6"/>
  <c r="AD172" i="6"/>
  <c r="AE172" i="6"/>
  <c r="AD56" i="6"/>
  <c r="AE56" i="6"/>
  <c r="AD21" i="6"/>
  <c r="AE21" i="6"/>
  <c r="AD15" i="6"/>
  <c r="AE15" i="6"/>
  <c r="AD75" i="6"/>
  <c r="AE75" i="6"/>
  <c r="AD31" i="6"/>
  <c r="AE31" i="6"/>
  <c r="AD131" i="6"/>
  <c r="AE131" i="6"/>
  <c r="AD161" i="6"/>
  <c r="AE161" i="6"/>
  <c r="AD134" i="6"/>
  <c r="AE134" i="6"/>
  <c r="AD152" i="6"/>
  <c r="AE152" i="6"/>
  <c r="AD130" i="6"/>
  <c r="AE130" i="6"/>
  <c r="AD144" i="6"/>
  <c r="AE144" i="6"/>
  <c r="AB8" i="6"/>
  <c r="C14" i="11"/>
  <c r="AD96" i="6"/>
  <c r="AE96" i="6"/>
  <c r="AD47" i="6"/>
  <c r="AE47" i="6"/>
  <c r="AD66" i="6"/>
  <c r="AE66" i="6"/>
  <c r="AD186" i="6"/>
  <c r="AE186" i="6"/>
  <c r="AD166" i="6"/>
  <c r="AE166" i="6"/>
  <c r="AD94" i="6"/>
  <c r="AE94" i="6"/>
  <c r="AD117" i="6"/>
  <c r="AE117" i="6"/>
  <c r="AD184" i="6"/>
  <c r="AE184" i="6"/>
  <c r="AD124" i="6"/>
  <c r="AE124" i="6"/>
  <c r="AD74" i="6"/>
  <c r="AE74" i="6"/>
  <c r="AD149" i="6"/>
  <c r="AE149" i="6"/>
  <c r="AD122" i="6"/>
  <c r="AE122" i="6"/>
  <c r="AD19" i="6"/>
  <c r="AE19" i="6"/>
  <c r="AD126" i="6"/>
  <c r="AE126" i="6"/>
  <c r="AD164" i="6"/>
  <c r="AE164" i="6"/>
  <c r="AD142" i="6"/>
  <c r="AE142" i="6"/>
  <c r="AD140" i="6"/>
  <c r="AE140" i="6"/>
  <c r="AD14" i="6"/>
  <c r="AE14" i="6"/>
  <c r="AD53" i="6"/>
  <c r="AE53" i="6"/>
  <c r="AD100" i="6"/>
  <c r="AE100" i="6"/>
  <c r="AD112" i="6"/>
  <c r="AE112" i="6"/>
  <c r="AD46" i="6"/>
  <c r="AE46" i="6"/>
  <c r="AD38" i="6"/>
  <c r="AE38" i="6"/>
  <c r="AD179" i="6"/>
  <c r="AE179" i="6"/>
  <c r="AD199" i="6"/>
  <c r="AE199" i="6"/>
  <c r="AD133" i="6"/>
  <c r="AE133" i="6"/>
  <c r="AD72" i="6"/>
  <c r="AE72" i="6"/>
  <c r="AD51" i="6"/>
  <c r="AE51" i="6"/>
  <c r="AD29" i="6"/>
  <c r="AE29" i="6"/>
  <c r="AD119" i="6"/>
  <c r="AE119" i="6"/>
  <c r="AD175" i="6"/>
  <c r="AE175" i="6"/>
  <c r="AD121" i="6"/>
  <c r="AE121" i="6"/>
  <c r="AD97" i="6"/>
  <c r="AE97" i="6"/>
  <c r="AD137" i="6"/>
  <c r="AE137" i="6"/>
  <c r="AD63" i="6"/>
  <c r="AE63" i="6"/>
  <c r="AB4" i="6"/>
  <c r="D14" i="11"/>
  <c r="AD198" i="6"/>
  <c r="AE198" i="6"/>
  <c r="AD178" i="6"/>
  <c r="AE178" i="6"/>
  <c r="AD132" i="6"/>
  <c r="AE132" i="6"/>
  <c r="AD62" i="6"/>
  <c r="AE62" i="6"/>
  <c r="AD59" i="6"/>
  <c r="AE59" i="6"/>
  <c r="AD105" i="6"/>
  <c r="AE105" i="6"/>
  <c r="AD16" i="6"/>
  <c r="AE16" i="6"/>
  <c r="AD67" i="6"/>
  <c r="AE67" i="6"/>
  <c r="AD200" i="6"/>
  <c r="AE200" i="6"/>
  <c r="AD190" i="6"/>
  <c r="AE190" i="6"/>
  <c r="AD120" i="6"/>
  <c r="AE120" i="6"/>
  <c r="AD86" i="6"/>
  <c r="AE86" i="6"/>
  <c r="AD76" i="6"/>
  <c r="AE76" i="6"/>
  <c r="AD79" i="6"/>
  <c r="AE79" i="6"/>
  <c r="AD202" i="6"/>
  <c r="AE202" i="6"/>
  <c r="AD116" i="6"/>
  <c r="AE116" i="6"/>
  <c r="AD24" i="6"/>
  <c r="AE24" i="6"/>
  <c r="AD110" i="6"/>
  <c r="AE110" i="6"/>
  <c r="AD57" i="6"/>
  <c r="AE57" i="6"/>
  <c r="AD58" i="6"/>
  <c r="AE58" i="6"/>
  <c r="AD195" i="6"/>
  <c r="AE195" i="6"/>
  <c r="AD69" i="6"/>
  <c r="AE69" i="6"/>
  <c r="AD89" i="6"/>
  <c r="AE89" i="6"/>
  <c r="AD37" i="6"/>
  <c r="AE37" i="6"/>
  <c r="AD145" i="6"/>
  <c r="AE145" i="6"/>
  <c r="AD73" i="6"/>
  <c r="AE73" i="6"/>
  <c r="AD156" i="6"/>
  <c r="AE156" i="6"/>
  <c r="AD60" i="6"/>
  <c r="AE60" i="6"/>
  <c r="AD127" i="6"/>
  <c r="AE127" i="6"/>
  <c r="AD182" i="6"/>
  <c r="AE182" i="6"/>
  <c r="AD93" i="6"/>
  <c r="AE93" i="6"/>
  <c r="AD163" i="6"/>
  <c r="AE163" i="6"/>
  <c r="AD48" i="6"/>
  <c r="AE48" i="6"/>
  <c r="AD17" i="6"/>
  <c r="AE17" i="6"/>
  <c r="AD49" i="6"/>
  <c r="AE49" i="6"/>
  <c r="AD52" i="6"/>
  <c r="AE52" i="6"/>
  <c r="AD36" i="6"/>
  <c r="AE36" i="6"/>
  <c r="AD109" i="6"/>
  <c r="AE109" i="6"/>
  <c r="AD170" i="6"/>
  <c r="AE170" i="6"/>
  <c r="AD81" i="6"/>
  <c r="AE81" i="6"/>
  <c r="AD193" i="6"/>
  <c r="AE193" i="6"/>
  <c r="AD33" i="6"/>
  <c r="AE33" i="6"/>
  <c r="AD188" i="6"/>
  <c r="AE188" i="6"/>
  <c r="AD32" i="6"/>
  <c r="AE32" i="6"/>
  <c r="AD139" i="6"/>
  <c r="AE139" i="6"/>
  <c r="AD194" i="6"/>
  <c r="AE194" i="6"/>
  <c r="AD115" i="6"/>
  <c r="AE115" i="6"/>
  <c r="AD30" i="6"/>
  <c r="AE30" i="6"/>
  <c r="AD162" i="6"/>
  <c r="AE162" i="6"/>
  <c r="AD65" i="6"/>
  <c r="AE65" i="6"/>
  <c r="AD129" i="6"/>
  <c r="AE129" i="6"/>
  <c r="AD28" i="6"/>
  <c r="AE28" i="6"/>
  <c r="AD151" i="6"/>
  <c r="AE151" i="6"/>
  <c r="AD55" i="6"/>
  <c r="AE55" i="6"/>
  <c r="AD104" i="6"/>
  <c r="AE104" i="6"/>
  <c r="AD157" i="6"/>
  <c r="AE157" i="6"/>
  <c r="AD40" i="6"/>
  <c r="AE40" i="6"/>
  <c r="AD26" i="6"/>
  <c r="AE26" i="6"/>
  <c r="AD197" i="6"/>
  <c r="AE197" i="6"/>
  <c r="AD103" i="6"/>
  <c r="AE103" i="6"/>
  <c r="AD158" i="6"/>
  <c r="AE158" i="6"/>
  <c r="AD101" i="6"/>
  <c r="AE101" i="6"/>
  <c r="AD44" i="6"/>
  <c r="AE44" i="6"/>
  <c r="AD141" i="6"/>
  <c r="AE141" i="6"/>
  <c r="AD123" i="6"/>
  <c r="AE123" i="6"/>
  <c r="AD35" i="6"/>
  <c r="AE35" i="6"/>
  <c r="AD143" i="6"/>
  <c r="AE143" i="6"/>
  <c r="AD25" i="6"/>
  <c r="AE25" i="6"/>
  <c r="AD23" i="6"/>
  <c r="AE23" i="6"/>
  <c r="AD106" i="6"/>
  <c r="AE106" i="6"/>
  <c r="AD160" i="6"/>
  <c r="AE160" i="6"/>
  <c r="AD50" i="6"/>
  <c r="AE50" i="6"/>
  <c r="AD88" i="6"/>
  <c r="AE88" i="6"/>
  <c r="AD11" i="6"/>
  <c r="AE11" i="6"/>
  <c r="AD155" i="6"/>
  <c r="AE155" i="6"/>
  <c r="AD189" i="6"/>
  <c r="AE189" i="6"/>
  <c r="AD68" i="6"/>
  <c r="AE68" i="6"/>
  <c r="AD150" i="6"/>
  <c r="AE150" i="6"/>
  <c r="AD113" i="6"/>
  <c r="AE113" i="6"/>
  <c r="AD80" i="6"/>
  <c r="AE80" i="6"/>
  <c r="AD153" i="6"/>
  <c r="AE153" i="6"/>
  <c r="AD168" i="6"/>
  <c r="AE168" i="6"/>
  <c r="AD171" i="6"/>
  <c r="AE171" i="6"/>
  <c r="AD78" i="6"/>
  <c r="AE78" i="6"/>
  <c r="AD196" i="6"/>
  <c r="AE196" i="6"/>
  <c r="AD148" i="6"/>
  <c r="AE148" i="6"/>
  <c r="AD9" i="6"/>
  <c r="AE9" i="6"/>
  <c r="AD147" i="6"/>
  <c r="AE147" i="6"/>
  <c r="AD18" i="6"/>
  <c r="AE18" i="6"/>
  <c r="AD177" i="6"/>
  <c r="AE177" i="6"/>
  <c r="AD41" i="6"/>
  <c r="AE41" i="6"/>
  <c r="AD146" i="6"/>
  <c r="AE146" i="6"/>
  <c r="AD185" i="6"/>
  <c r="AE185" i="6"/>
  <c r="AD92" i="6"/>
  <c r="AE92" i="6"/>
  <c r="AD165" i="6"/>
  <c r="AE165" i="6"/>
  <c r="Z3" i="6"/>
  <c r="AA3" i="6" s="1" a="1"/>
  <c r="AA3" i="6" s="1"/>
  <c r="B9" i="11"/>
  <c r="AB3" i="6" l="1"/>
  <c r="E14" i="11"/>
  <c r="B14" i="11"/>
  <c r="AC4" i="6"/>
  <c r="D15" i="11"/>
  <c r="AC8" i="6"/>
  <c r="C15" i="11"/>
  <c r="AC3" i="6"/>
  <c r="B7" i="10"/>
  <c r="B20" i="11" s="1"/>
  <c r="AD3" i="6" l="1"/>
  <c r="AE3" i="6"/>
  <c r="AD8" i="6"/>
  <c r="AE8" i="6"/>
  <c r="AD4" i="6"/>
  <c r="AE4" i="6"/>
  <c r="E15" i="11"/>
  <c r="B16" i="11"/>
  <c r="B15" i="11"/>
  <c r="B11" i="10"/>
  <c r="B9" i="10"/>
  <c r="B21" i="11" s="1"/>
  <c r="C9" i="11" l="1"/>
  <c r="C8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<sst xmlns="http://schemas.openxmlformats.org/spreadsheetml/2006/main" count="1489" uniqueCount="172">
  <si>
    <t>employee_id</t>
  </si>
  <si>
    <t>job_title</t>
  </si>
  <si>
    <t>job_family</t>
  </si>
  <si>
    <t>job_level</t>
  </si>
  <si>
    <t>exempt_status</t>
  </si>
  <si>
    <t>department</t>
  </si>
  <si>
    <t>location</t>
  </si>
  <si>
    <t>base_salary</t>
  </si>
  <si>
    <t>bonus_eligible</t>
  </si>
  <si>
    <t>gender</t>
  </si>
  <si>
    <t>hire_date</t>
  </si>
  <si>
    <t>years_experience</t>
  </si>
  <si>
    <t>Operations Manager</t>
  </si>
  <si>
    <t>Operations</t>
  </si>
  <si>
    <t>Exempt</t>
  </si>
  <si>
    <t>AL</t>
  </si>
  <si>
    <t>Female</t>
  </si>
  <si>
    <t>IT Analyst</t>
  </si>
  <si>
    <t>IT</t>
  </si>
  <si>
    <t>Male</t>
  </si>
  <si>
    <t>Operations Supervisor</t>
  </si>
  <si>
    <t>Non-Exempt</t>
  </si>
  <si>
    <t>Senior IT Analyst</t>
  </si>
  <si>
    <t>HR Manager</t>
  </si>
  <si>
    <t>HR</t>
  </si>
  <si>
    <t>Financial Analyst</t>
  </si>
  <si>
    <t>Finance</t>
  </si>
  <si>
    <t>Senior Financial Analyst</t>
  </si>
  <si>
    <t>Compensation Analyst</t>
  </si>
  <si>
    <t>HR Analyst</t>
  </si>
  <si>
    <t>Payroll Specialist</t>
  </si>
  <si>
    <t>Level</t>
  </si>
  <si>
    <t>Title Pattern</t>
  </si>
  <si>
    <t>Core Characteristics</t>
  </si>
  <si>
    <t>Level 2</t>
  </si>
  <si>
    <t>Analyst / Specialist</t>
  </si>
  <si>
    <t>Executes defined tasks, limited autonomy, works under guidance</t>
  </si>
  <si>
    <t>Level 3</t>
  </si>
  <si>
    <t>Senior / Lead Analyst</t>
  </si>
  <si>
    <t>Level 4</t>
  </si>
  <si>
    <t>Manager</t>
  </si>
  <si>
    <t>Manages people or functions, sets strategy, owns outcomes</t>
  </si>
  <si>
    <t>HR Family</t>
  </si>
  <si>
    <t>Job Title</t>
  </si>
  <si>
    <t>Justification</t>
  </si>
  <si>
    <t>Owns compensation analysis, advises HR leadership</t>
  </si>
  <si>
    <t>Leads HR strategy, manages staff, accountable for outcomes</t>
  </si>
  <si>
    <t>Finance Family</t>
  </si>
  <si>
    <t>Independent analysis, forecasting, business partnering</t>
  </si>
  <si>
    <t>Leads financial planning, advises leadership</t>
  </si>
  <si>
    <t>(1) HR Analyst                                    (2) Payroll Specialist</t>
  </si>
  <si>
    <t>(1) Supports HR programs, executes reporting and admin tasks;                                                                         (2) Transactional, compliance-focused, limited decision authority</t>
  </si>
  <si>
    <t>Operations Family</t>
  </si>
  <si>
    <t>Supervises frontline staff, manages schedules</t>
  </si>
  <si>
    <t>Owns operational performance and strategy</t>
  </si>
  <si>
    <t>IT Family</t>
  </si>
  <si>
    <t>System ownership, advanced problem-solving</t>
  </si>
  <si>
    <t>Independent contributor or frontline supervisor; exercises independent judgment within defined frameworks; role expertise; may oversee staff without owning strategy or budgets</t>
  </si>
  <si>
    <t>Provides technical support and executes defined tasks under established procedures</t>
  </si>
  <si>
    <t>Market P25</t>
  </si>
  <si>
    <t>Market Median</t>
  </si>
  <si>
    <t>Market P75</t>
  </si>
  <si>
    <t>Range Component</t>
  </si>
  <si>
    <t>Value</t>
  </si>
  <si>
    <t>Minimum</t>
  </si>
  <si>
    <t>Midpoint</t>
  </si>
  <si>
    <t>Maximum</t>
  </si>
  <si>
    <t>Item</t>
  </si>
  <si>
    <t>Geography</t>
  </si>
  <si>
    <t>Category</t>
  </si>
  <si>
    <t>Description</t>
  </si>
  <si>
    <t>Primary Wage Source</t>
  </si>
  <si>
    <t>BLS Occupational Employment and Wage Statistics (OEWS)</t>
  </si>
  <si>
    <t>Job Matching Reference</t>
  </si>
  <si>
    <t>O*NET Online occupational descriptions</t>
  </si>
  <si>
    <t>Survey Simulation</t>
  </si>
  <si>
    <t>Percentiles aligned to typical compensation survey outputs</t>
  </si>
  <si>
    <t>Data Sources</t>
  </si>
  <si>
    <t>Pay Range Rules</t>
  </si>
  <si>
    <t>Internal Job Title</t>
  </si>
  <si>
    <t>External Benchmark</t>
  </si>
  <si>
    <t>Rationale</t>
  </si>
  <si>
    <t>Compensation, Benefits, and Job Analysis Specialists</t>
  </si>
  <si>
    <t>Role scope and analytical responsibilities</t>
  </si>
  <si>
    <t>Human Resources Specialists</t>
  </si>
  <si>
    <t>Support-level HR functions</t>
  </si>
  <si>
    <t>Frontline supervision, scheduling</t>
  </si>
  <si>
    <t>Job Matching Approach</t>
  </si>
  <si>
    <t>Supervise employees, hire personnel and manage human resources activities</t>
  </si>
  <si>
    <t>Direct or coordinate financial or budget activities to fund operations, maximize investments, or increase efficiency.</t>
  </si>
  <si>
    <t>General and Operations Managers</t>
  </si>
  <si>
    <t>Payroll and Timekeeping Clerks</t>
  </si>
  <si>
    <t>Verify attendance, hours worked, and pay adjustments, and post information onto designated records.
Process and issue employee paychecks and statements of earnings and deductions.</t>
  </si>
  <si>
    <t>Computer Systems Analysts</t>
  </si>
  <si>
    <t>Test, maintain, and monitor computer programs and systems, including coordinating the installation of computer programs and systems.</t>
  </si>
  <si>
    <t>Financial and Investment Analysts</t>
  </si>
  <si>
    <t>Analyze financial or operational performance</t>
  </si>
  <si>
    <t>Human Resources Managers</t>
  </si>
  <si>
    <t>Direct daily operations of department, analyzing workflow, establishing priorities, developing standards and setting deadlines.</t>
  </si>
  <si>
    <t>Computer and Information Systems Managers</t>
  </si>
  <si>
    <t>Evaluate financial reporting systems, accounting or collection procedures, or investment activities and make recommendations for changes to procedures, operating systems, budgets, or other financial control functions.</t>
  </si>
  <si>
    <t>Financial Managers</t>
  </si>
  <si>
    <t>Alabama</t>
  </si>
  <si>
    <t>Georgraphic Scope</t>
  </si>
  <si>
    <t>Job Family</t>
  </si>
  <si>
    <t>External Benchmark Title</t>
  </si>
  <si>
    <t>Source</t>
  </si>
  <si>
    <t>Matching Rationale</t>
  </si>
  <si>
    <t>Confidence</t>
  </si>
  <si>
    <t>BLS OEWS</t>
  </si>
  <si>
    <t>Support-level HR work including reporting and administration</t>
  </si>
  <si>
    <t>High</t>
  </si>
  <si>
    <t>Transactional payroll processing and compliance tasks</t>
  </si>
  <si>
    <t>Compensation analysis, market pricing, and advisory work</t>
  </si>
  <si>
    <t>Strategic HR leadership and people management</t>
  </si>
  <si>
    <t>Financial modeling, forecasting, and business analysis</t>
  </si>
  <si>
    <t>Leads financial planning and advises leadership</t>
  </si>
  <si>
    <t>Medium</t>
  </si>
  <si>
    <t>Frontline supervision and scheduling responsibilities</t>
  </si>
  <si>
    <t>Owns operational strategy and performance</t>
  </si>
  <si>
    <t>Technical support and issue resolution</t>
  </si>
  <si>
    <t>System ownership and advanced problem-solving</t>
  </si>
  <si>
    <t>First-Line Supervisors of Production and Operating Workers</t>
  </si>
  <si>
    <t>Compa-Ratio</t>
  </si>
  <si>
    <t>Female Average Pay</t>
  </si>
  <si>
    <t>Male Average Pay</t>
  </si>
  <si>
    <t>Pay Gap %</t>
  </si>
  <si>
    <t>Equity</t>
  </si>
  <si>
    <t>Purpose</t>
  </si>
  <si>
    <t>This analysis reviewed pay equity across similarly situated roles by comparing average pay and market positioning by gender within the same job title and level.</t>
  </si>
  <si>
    <t>Key Findings</t>
  </si>
  <si>
    <t>All roles showed low equity risk with pay differences within 5%.</t>
  </si>
  <si>
    <t>At Market</t>
  </si>
  <si>
    <t>Below Market</t>
  </si>
  <si>
    <t>Above Market</t>
  </si>
  <si>
    <t>Market Positioning Analysis</t>
  </si>
  <si>
    <t>Pay Equity Analysis</t>
  </si>
  <si>
    <t>Equity_Group</t>
  </si>
  <si>
    <t>Merit_Eligible</t>
  </si>
  <si>
    <t>Performance Rating</t>
  </si>
  <si>
    <t>Merit_Percent</t>
  </si>
  <si>
    <t>Market_Position</t>
  </si>
  <si>
    <t>Range_Penetration</t>
  </si>
  <si>
    <t>Market_Col</t>
  </si>
  <si>
    <t>Performance_Rating</t>
  </si>
  <si>
    <t>Merit_Amount</t>
  </si>
  <si>
    <t>New_Base_Salary</t>
  </si>
  <si>
    <t>Post_Merit_Compa_Ratio</t>
  </si>
  <si>
    <t>Total Payroll</t>
  </si>
  <si>
    <t>Merit Budget (3%)</t>
  </si>
  <si>
    <t>Total Merit Spend</t>
  </si>
  <si>
    <t>Variance</t>
  </si>
  <si>
    <t>Scaling Factor</t>
  </si>
  <si>
    <t>Metric</t>
  </si>
  <si>
    <t>Pre-Merit</t>
  </si>
  <si>
    <t>Average Compa-Ratio</t>
  </si>
  <si>
    <t>Post_Merit_Position</t>
  </si>
  <si>
    <t>% Below Market</t>
  </si>
  <si>
    <t>Market Alignment Impact</t>
  </si>
  <si>
    <t>Post-Merit</t>
  </si>
  <si>
    <t>Merit Distribution Insights</t>
  </si>
  <si>
    <t>Average Merit Increase %</t>
  </si>
  <si>
    <t>Average Merit $ Increase</t>
  </si>
  <si>
    <t>Highest Merit Increase</t>
  </si>
  <si>
    <t>Budget Summary Snapshot</t>
  </si>
  <si>
    <t>Merit Budget</t>
  </si>
  <si>
    <t>Total Spend</t>
  </si>
  <si>
    <t>Merit Cycle Impact Summary</t>
  </si>
  <si>
    <t>Merit increases were allocated using a performance- and market-aligned matrix within a 3% budget. The cycle improved market competitiveness by reducing below-market pay positioning while maintaining internal equity and budget discipline.</t>
  </si>
  <si>
    <t>Merit Budget Summary</t>
  </si>
  <si>
    <t>Performance</t>
  </si>
  <si>
    <t>All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</si>
</sst>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&quot;$&quot;#,##0.00"/>
    <numFmt numFmtId="176" formatCode="&quot;$&quot;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3" fontId="0" fillId="0" borderId="0" xfId="0" applyNumberForma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6" xfId="0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/>
    <xf numFmtId="0" fontId="0" fillId="0" borderId="16" xfId="0" applyBorder="1"/>
    <xf numFmtId="0" fontId="16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2" fontId="0" fillId="0" borderId="0" xfId="0" applyNumberFormat="1"/>
    <xf numFmtId="10" fontId="0" fillId="0" borderId="0" xfId="1" applyNumberFormat="1" applyFont="1" applyBorder="1"/>
    <xf numFmtId="10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/>
    </xf>
    <xf numFmtId="0" fontId="16" fillId="0" borderId="16" xfId="0" applyFont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3" fontId="0" fillId="0" borderId="0" xfId="0" applyNumberFormat="1"/>
    <xf numFmtId="176" fontId="0" fillId="0" borderId="0" xfId="0" applyNumberForma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0" fillId="0" borderId="0" xfId="0" applyNumberFormat="1" applyFont="1"/>
    <xf numFmtId="0" fontId="16" fillId="0" borderId="0" xfId="0" applyFont="1" applyFill="1" applyBorder="1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left"/>
    </xf>
    <xf numFmtId="173" fontId="0" fillId="0" borderId="0" xfId="0" applyNumberFormat="1" applyFont="1"/>
    <xf numFmtId="9" fontId="0" fillId="0" borderId="0" xfId="0" applyNumberFormat="1"/>
    <xf numFmtId="0" fontId="19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numFmt numFmtId="0" formatCode="General"/>
    </dxf>
    <dxf>
      <numFmt numFmtId="173" formatCode="&quot;$&quot;#,##0.00"/>
    </dxf>
    <dxf>
      <numFmt numFmtId="176" formatCode="&quot;$&quot;#,##0"/>
    </dxf>
    <dxf>
      <numFmt numFmtId="2" formatCode="0.00"/>
    </dxf>
    <dxf>
      <numFmt numFmtId="176" formatCode="&quot;$&quot;#,##0"/>
    </dxf>
    <dxf>
      <numFmt numFmtId="176" formatCode="&quot;$&quot;#,##0"/>
    </dxf>
    <dxf>
      <numFmt numFmtId="173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73" formatCode="&quot;$&quot;#,##0.00"/>
    </dxf>
    <dxf>
      <border diagonalUp="0" diagonalDown="0" outline="0">
        <left style="thick">
          <color indexed="64"/>
        </left>
        <right/>
        <top/>
        <bottom/>
      </border>
    </dxf>
    <dxf>
      <numFmt numFmtId="173" formatCode="&quot;$&quot;#,##0.00"/>
    </dxf>
    <dxf>
      <numFmt numFmtId="2" formatCode="0.00"/>
    </dxf>
    <dxf>
      <numFmt numFmtId="173" formatCode="&quot;$&quot;#,##0.00"/>
    </dxf>
    <dxf>
      <numFmt numFmtId="2" formatCode="0.00"/>
    </dxf>
    <dxf>
      <numFmt numFmtId="0" formatCode="General"/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Employees Below Market (Pre vs Post)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Merit_Impact_Summary!$B$6</c:f>
              <c:strCache>
                <c:ptCount val="1"/>
                <c:pt idx="0">
                  <c:v>Pre-Merit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Merit_Impact_Summary!$A$9</c:f>
              <c:strCache>
                <c:ptCount val="1"/>
                <c:pt idx="0">
                  <c:v>% Below Market</c:v>
                </c:pt>
              </c:strCache>
            </c:strRef>
          </c:cat>
          <c:val>
            <c:numRef>
              <c:f>Merit_Impact_Summary!$B$9</c:f>
              <c:numCache>
                <c:formatCode>0%</c:formatCode>
                <c:ptCount val="1"/>
                <c:pt idx="0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D-4FF6-918C-20B7E64BD458}"/>
            </c:ext>
          </c:extLst>
        </c:ser>
        <c:ser>
          <c:idx val="1"/>
          <c:order val="1"/>
          <c:tx>
            <c:strRef>
              <c:f>Merit_Impact_Summary!$C$6</c:f>
              <c:strCache>
                <c:ptCount val="1"/>
                <c:pt idx="0">
                  <c:v>Post-Merit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7797081306462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9D-4FF6-918C-20B7E64BD458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Merit_Impact_Summary!$A$9</c:f>
              <c:strCache>
                <c:ptCount val="1"/>
                <c:pt idx="0">
                  <c:v>% Below Market</c:v>
                </c:pt>
              </c:strCache>
            </c:strRef>
          </c:cat>
          <c:val>
            <c:numRef>
              <c:f>Merit_Impact_Summary!$C$9</c:f>
              <c:numCache>
                <c:formatCode>0%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D-4FF6-918C-20B7E64B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208400"/>
        <c:axId val="853210800"/>
      </c:barChart>
      <c:catAx>
        <c:axId val="8532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10800"/>
        <c:crosses val="autoZero"/>
        <c:auto val="1"/>
        <c:lblAlgn val="ctr"/>
        <c:lblOffset val="100"/>
        <c:noMultiLvlLbl val="0"/>
      </c:catAx>
      <c:valAx>
        <c:axId val="853210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0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Merit Increase by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Merit_Impact_Summary!$C$12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Merit_Impact_Summary!$A$12:$A$14</c15:sqref>
                  </c15:fullRef>
                </c:ext>
              </c:extLst>
              <c:f>Merit_Impact_Summary!$A$14</c:f>
              <c:strCache>
                <c:ptCount val="1"/>
                <c:pt idx="0">
                  <c:v>Average Merit Increase 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Merit_Impact_Summary!$C$12:$C$14</c15:sqref>
                  </c15:fullRef>
                </c:ext>
              </c:extLst>
              <c:f>Merit_Impact_Summary!$C$14</c:f>
              <c:numCache>
                <c:formatCode>General</c:formatCode>
                <c:ptCount val="1"/>
                <c:pt idx="0" formatCode="0.00">
                  <c:v>5.1428571428571455E-2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E-4E64-9179-138EF5D21C6B}"/>
            </c:ext>
          </c:extLst>
        </c:ser>
        <c:ser>
          <c:idx val="2"/>
          <c:order val="2"/>
          <c:tx>
            <c:strRef>
              <c:f>Merit_Impact_Summary!$D$12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Merit_Impact_Summary!$A$12:$A$14</c15:sqref>
                  </c15:fullRef>
                </c:ext>
              </c:extLst>
              <c:f>Merit_Impact_Summary!$A$14</c:f>
              <c:strCache>
                <c:ptCount val="1"/>
                <c:pt idx="0">
                  <c:v>Average Merit Increase 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Merit_Impact_Summary!$D$12:$D$14</c15:sqref>
                  </c15:fullRef>
                </c:ext>
              </c:extLst>
              <c:f>Merit_Impact_Summary!$D$14</c:f>
              <c:numCache>
                <c:formatCode>General</c:formatCode>
                <c:ptCount val="1"/>
                <c:pt idx="0" formatCode="0.00">
                  <c:v>4.155172413793104E-2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E-4E64-9179-138EF5D21C6B}"/>
            </c:ext>
          </c:extLst>
        </c:ser>
        <c:ser>
          <c:idx val="3"/>
          <c:order val="3"/>
          <c:tx>
            <c:strRef>
              <c:f>Merit_Impact_Summary!$E$12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Merit_Impact_Summary!$A$12:$A$14</c15:sqref>
                  </c15:fullRef>
                </c:ext>
              </c:extLst>
              <c:f>Merit_Impact_Summary!$A$14</c:f>
              <c:strCache>
                <c:ptCount val="1"/>
                <c:pt idx="0">
                  <c:v>Average Merit Increase 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Merit_Impact_Summary!$E$12:$E$14</c15:sqref>
                  </c15:fullRef>
                </c:ext>
              </c:extLst>
              <c:f>Merit_Impact_Summary!$E$14</c:f>
              <c:numCache>
                <c:formatCode>General</c:formatCode>
                <c:ptCount val="1"/>
                <c:pt idx="0" formatCode="0.00">
                  <c:v>3.0684210526315779E-2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7E-4E64-9179-138EF5D21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58528"/>
        <c:axId val="926659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Merit_Impact_Summary!$A$12:$A$14</c15:sqref>
                        </c15:fullRef>
                        <c15:formulaRef>
                          <c15:sqref>Merit_Impact_Summary!$A$14</c15:sqref>
                        </c15:formulaRef>
                      </c:ext>
                    </c:extLst>
                    <c:strCache>
                      <c:ptCount val="1"/>
                      <c:pt idx="0">
                        <c:v>Average Merit Increase 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Merit_Impact_Summary!$B$12:$B$14</c15:sqref>
                        </c15:fullRef>
                        <c15:formulaRef>
                          <c15:sqref>Merit_Impact_Summary!$B$14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 formatCode="0.00">
                        <c:v>3.6810344827586217E-2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57E-4E64-9179-138EF5D21C6B}"/>
                  </c:ext>
                </c:extLst>
              </c15:ser>
            </c15:filteredBarSeries>
          </c:ext>
        </c:extLst>
      </c:barChart>
      <c:catAx>
        <c:axId val="9266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59968"/>
        <c:crosses val="autoZero"/>
        <c:auto val="1"/>
        <c:lblAlgn val="ctr"/>
        <c:lblOffset val="100"/>
        <c:noMultiLvlLbl val="0"/>
      </c:catAx>
      <c:valAx>
        <c:axId val="9266599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Average Compa-Ratio Improvement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746522309711282"/>
          <c:y val="2.77008310249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Merit_Impact_Summary!$B$6</c:f>
              <c:strCache>
                <c:ptCount val="1"/>
                <c:pt idx="0">
                  <c:v>Pre-Merit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Merit_Impact_Summary!$A$7:$A$8</c15:sqref>
                  </c15:fullRef>
                </c:ext>
              </c:extLst>
              <c:f>Merit_Impact_Summary!$A$8</c:f>
              <c:strCache>
                <c:ptCount val="1"/>
                <c:pt idx="0">
                  <c:v>Average Compa-Ratio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Merit_Impact_Summary!$B$7:$B$8</c15:sqref>
                  </c15:fullRef>
                </c:ext>
              </c:extLst>
              <c:f>Merit_Impact_Summary!$B$8</c:f>
              <c:numCache>
                <c:formatCode>0%</c:formatCode>
                <c:ptCount val="1"/>
                <c:pt idx="0">
                  <c:v>0.9113562742875565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7C1-8602-D3788DF64FE1}"/>
            </c:ext>
          </c:extLst>
        </c:ser>
        <c:ser>
          <c:idx val="1"/>
          <c:order val="1"/>
          <c:tx>
            <c:strRef>
              <c:f>Merit_Impact_Summary!$C$6</c:f>
              <c:strCache>
                <c:ptCount val="1"/>
                <c:pt idx="0">
                  <c:v>Post-Merit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38121546961325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94-47C1-8602-D3788DF64FE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Merit_Impact_Summary!$A$7:$A$8</c15:sqref>
                  </c15:fullRef>
                </c:ext>
              </c:extLst>
              <c:f>Merit_Impact_Summary!$A$8</c:f>
              <c:strCache>
                <c:ptCount val="1"/>
                <c:pt idx="0">
                  <c:v>Average Compa-Ratio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Merit_Impact_Summary!$C$7:$C$8</c15:sqref>
                  </c15:fullRef>
                </c:ext>
              </c:extLst>
              <c:f>Merit_Impact_Summary!$C$8</c:f>
              <c:numCache>
                <c:formatCode>0%</c:formatCode>
                <c:ptCount val="1"/>
                <c:pt idx="0">
                  <c:v>0.93937648569418031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4-47C1-8602-D3788DF64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62368"/>
        <c:axId val="926655648"/>
      </c:barChart>
      <c:catAx>
        <c:axId val="9266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55648"/>
        <c:crosses val="autoZero"/>
        <c:auto val="1"/>
        <c:lblAlgn val="ctr"/>
        <c:lblOffset val="100"/>
        <c:noMultiLvlLbl val="0"/>
      </c:catAx>
      <c:valAx>
        <c:axId val="92665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379095</xdr:colOff>
      <xdr:row>0</xdr:row>
      <xdr:rowOff>48577</xdr:rowOff>
    </xdr:from>
    <xdr:to>
      <xdr:col>13</xdr:col>
      <xdr:colOff>74295</xdr:colOff>
      <xdr:row>14</xdr:row>
      <xdr:rowOff>82867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6E5A9-CE74-773A-4929-69326F4DD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15</xdr:row>
      <xdr:rowOff>77152</xdr:rowOff>
    </xdr:from>
    <xdr:to>
      <xdr:col>13</xdr:col>
      <xdr:colOff>96202</xdr:colOff>
      <xdr:row>30</xdr:row>
      <xdr:rowOff>65722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95877C-3B0C-A372-9996-B31A53FB8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441007</xdr:colOff>
      <xdr:row>32</xdr:row>
      <xdr:rowOff>58102</xdr:rowOff>
    </xdr:from>
    <xdr:to>
      <xdr:col>13</xdr:col>
      <xdr:colOff>140017</xdr:colOff>
      <xdr:row>47</xdr:row>
      <xdr:rowOff>101917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8DE5F1-BF2F-D7D9-08CD-F7FE93896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9F521-2BC1-4985-819E-429FE637E81A}" name="Table1" displayName="Table1" ref="A2:AE202" totalsRowShown="0">
  <autoFilter ref="A2:AE202" xr:uid="{0D09F521-2BC1-4985-819E-429FE637E81A}"/>
  <tableColumns count="31">
    <tableColumn id="1" xr3:uid="{55A45746-8D23-4F41-BDE6-6F5E8AB3DAD9}" name="employee_id"/>
    <tableColumn id="2" xr3:uid="{94F33EF6-B7EE-4C9E-92C4-C15385CC9D82}" name="job_title"/>
    <tableColumn id="3" xr3:uid="{65BD50C3-F349-4506-98B2-D7A5692536BB}" name="job_family"/>
    <tableColumn id="4" xr3:uid="{82C5845D-C1C7-4B35-8707-AC6B1F81BCE4}" name="job_level"/>
    <tableColumn id="5" xr3:uid="{D2D3AA0A-A93C-4CDD-8083-53809B95A6EC}" name="exempt_status"/>
    <tableColumn id="6" xr3:uid="{35CA40BD-AA2B-43B2-840B-890048F5C04A}" name="department"/>
    <tableColumn id="7" xr3:uid="{53E13BE2-CD49-4E45-B950-154366DAD01A}" name="location"/>
    <tableColumn id="8" xr3:uid="{ECF2087F-4D77-4C0E-8AF3-C8FC8D2AC061}" name="base_salary" dataDxfId="1"/>
    <tableColumn id="9" xr3:uid="{BB12E4DE-17B1-4E87-8A49-24770AF41967}" name="bonus_eligible"/>
    <tableColumn id="10" xr3:uid="{AC50E2FB-10CF-495B-9D64-EB08F72CF5AF}" name="Performance_Rating"/>
    <tableColumn id="11" xr3:uid="{6A62DF51-E692-4469-BF6C-CDE3312A6667}" name="gender"/>
    <tableColumn id="12" xr3:uid="{EC11649E-2B3F-4F74-BEB0-0703CA05E529}" name="hire_date" dataDxfId="18"/>
    <tableColumn id="13" xr3:uid="{D439B209-D321-4AF1-B0EC-958D5F76296B}" name="years_experience"/>
    <tableColumn id="14" xr3:uid="{7C334E75-93CA-4430-B2D4-D10420942C44}" name="Market P25" dataDxfId="5">
      <calculatedColumnFormula>VLOOKUP(B3,Market_Salary_Benchmarks!$A$1:$G$11,5,FALSE)</calculatedColumnFormula>
    </tableColumn>
    <tableColumn id="15" xr3:uid="{DE956BF8-3485-4130-AF4D-E3CF440A723C}" name="Market Median" dataDxfId="4">
      <calculatedColumnFormula>VLOOKUP(B3,Market_Salary_Benchmarks!$A$1:$G$11,6,FALSE)</calculatedColumnFormula>
    </tableColumn>
    <tableColumn id="16" xr3:uid="{C22033BE-38D5-4170-A706-7C89DCBFBFDD}" name="Market P75" dataDxfId="2">
      <calculatedColumnFormula>VLOOKUP(B3,Market_Salary_Benchmarks!$A$1:$G$11,7,FALSE)</calculatedColumnFormula>
    </tableColumn>
    <tableColumn id="17" xr3:uid="{54BA1F70-A516-40C5-B4EB-3A7EA80D651A}" name="Compa-Ratio" dataDxfId="3">
      <calculatedColumnFormula>H3/O3</calculatedColumnFormula>
    </tableColumn>
    <tableColumn id="18" xr3:uid="{2AA7A733-C5EB-4928-92B0-06C8F6DB3089}" name="Range_Penetration" dataDxfId="17">
      <calculatedColumnFormula>(H3-N3)/(P3-N3)</calculatedColumnFormula>
    </tableColumn>
    <tableColumn id="19" xr3:uid="{2EEAC50A-7AE7-44F3-BA2B-9D63082C7F62}" name="Market_Position" dataDxfId="16">
      <calculatedColumnFormula>IF(H3 &lt; N3, "Below Market", IF(H3 &gt; P3, "Above Market", "At Market"))</calculatedColumnFormula>
    </tableColumn>
    <tableColumn id="20" xr3:uid="{0BBEBFD4-B466-4993-91B1-A11ED60D5FD1}" name="Equity_Group" dataDxfId="9">
      <calculatedColumnFormula>B3 &amp; "-" &amp; D3</calculatedColumnFormula>
    </tableColumn>
    <tableColumn id="21" xr3:uid="{73F002B0-F12C-4F60-A7FE-B0F747691784}" name="Female Average Pay" dataDxfId="8">
      <calculatedColumnFormula>AVERAGEIFS(H:H, K:K, "Female", B:B, B3, D:D, D3)</calculatedColumnFormula>
    </tableColumn>
    <tableColumn id="22" xr3:uid="{26F24815-E510-48E2-A7B9-2949DFB842C5}" name="Male Average Pay" dataDxfId="6">
      <calculatedColumnFormula>AVERAGEIFS(H:H, K:K, "Male", B:B, B3, D:D, D3)</calculatedColumnFormula>
    </tableColumn>
    <tableColumn id="23" xr3:uid="{515A1D3A-A52C-4625-B595-C008C011A4A7}" name="Pay Gap %" dataDxfId="7" dataCellStyle="Percent">
      <calculatedColumnFormula>(V3-U3)/V3</calculatedColumnFormula>
    </tableColumn>
    <tableColumn id="24" xr3:uid="{FF8AD8F1-B349-4DE3-9DA3-4F970213424A}" name="Equity" dataDxfId="15">
      <calculatedColumnFormula>IF(ABS(W3) &gt;= 0.1, "High Risk",
 IF(ABS(W3) &gt;= 0.05, "Moderate Risk",
 "Low Risk"))</calculatedColumnFormula>
    </tableColumn>
    <tableColumn id="25" xr3:uid="{CFD5B328-2E4E-4452-9F36-E1267CCAE510}" name="Merit_Eligible">
      <calculatedColumnFormula>IF(J3&gt;=3,"Yes","No")</calculatedColumnFormula>
    </tableColumn>
    <tableColumn id="26" xr3:uid="{7427786C-3320-4AE0-8182-84299A6918DB}" name="Market_Col" dataDxfId="14">
      <calculatedColumnFormula>IF(TRIM(S3)="Below Market",1,
 IF(TRIM(S3)="At Market",2,
 IF(TRIM(S3)="Above Market",3,0)))</calculatedColumnFormula>
    </tableColumn>
    <tableColumn id="27" xr3:uid="{EF08080B-5F1D-4607-9525-2DAA6B6646B9}" name="Merit_Percent" dataDxfId="13">
      <calculatedColumnFormula array="1">IF($Y3&lt;&gt;"Yes",0,INDEX(Merit_Matrix!$B$2:$D$4,MATCH($J3,Merit_Matrix!$A$2:$A$4,0),Z3))</calculatedColumnFormula>
    </tableColumn>
    <tableColumn id="28" xr3:uid="{CB5C49B2-4A47-4434-B6C1-F343753AD633}" name="Merit_Amount" dataDxfId="12">
      <calculatedColumnFormula>H3*AA3</calculatedColumnFormula>
    </tableColumn>
    <tableColumn id="29" xr3:uid="{927E07A8-D2F6-4A18-93DA-1086AAE0485E}" name="New_Base_Salary" dataDxfId="10">
      <calculatedColumnFormula>H3+AB3</calculatedColumnFormula>
    </tableColumn>
    <tableColumn id="30" xr3:uid="{EEDE906A-5B7C-4419-B193-6A408D0ADAAD}" name="Post_Merit_Compa_Ratio" dataDxfId="11">
      <calculatedColumnFormula>AC3/O3</calculatedColumnFormula>
    </tableColumn>
    <tableColumn id="31" xr3:uid="{01422C7D-CFCC-43C3-B380-AF3C52BC2E5D}" name="Post_Merit_Position" dataDxfId="0">
      <calculatedColumnFormula>IF(Table1[[#This Row],[New_Base_Salary]] &lt; Table1[[#This Row],[Market P25]],"Below Market",
 IF(Table1[[#This Row],[New_Base_Salary]] &gt; Table1[[#This Row],[Market P75]],"Above Market","At Market"))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7FF9-ABF0-47BC-9260-B3299FAEAF7C}">
  <dimension ref="A1:E21"/>
  <sheetViews>
    <sheetView tabSelected="1" workbookViewId="0">
      <selection activeCell="D9" sqref="D9"/>
    </sheetView>
  </sheetViews>
  <sheetFormatPr defaultRowHeight="14.4" x14ac:dyDescent="0.3"/>
  <cols>
    <col min="1" max="1" width="23.21875" customWidth="1"/>
    <col min="2" max="2" width="12.5546875" customWidth="1"/>
    <col min="3" max="3" width="15.44140625" customWidth="1"/>
    <col min="4" max="5" width="10.5546875" bestFit="1" customWidth="1"/>
  </cols>
  <sheetData>
    <row r="1" spans="1:5" ht="21" x14ac:dyDescent="0.4">
      <c r="A1" s="53" t="s">
        <v>167</v>
      </c>
      <c r="B1" s="53"/>
      <c r="C1" s="53"/>
      <c r="D1" s="53"/>
    </row>
    <row r="2" spans="1:5" x14ac:dyDescent="0.3">
      <c r="A2" s="47" t="s">
        <v>168</v>
      </c>
      <c r="B2" s="47"/>
      <c r="C2" s="47"/>
      <c r="D2" s="47"/>
      <c r="E2" s="47"/>
    </row>
    <row r="3" spans="1:5" ht="42" customHeight="1" x14ac:dyDescent="0.3">
      <c r="A3" s="47"/>
      <c r="B3" s="47"/>
      <c r="C3" s="47"/>
      <c r="D3" s="47"/>
      <c r="E3" s="47"/>
    </row>
    <row r="5" spans="1:5" ht="18" x14ac:dyDescent="0.35">
      <c r="A5" s="52" t="s">
        <v>158</v>
      </c>
      <c r="B5" s="52"/>
      <c r="C5" s="52"/>
    </row>
    <row r="6" spans="1:5" x14ac:dyDescent="0.3">
      <c r="A6" s="16" t="s">
        <v>153</v>
      </c>
      <c r="B6" s="16" t="s">
        <v>154</v>
      </c>
      <c r="C6" s="16" t="s">
        <v>159</v>
      </c>
    </row>
    <row r="7" spans="1:5" x14ac:dyDescent="0.3">
      <c r="A7" s="16"/>
      <c r="C7" s="16"/>
    </row>
    <row r="8" spans="1:5" x14ac:dyDescent="0.3">
      <c r="A8" s="16" t="s">
        <v>155</v>
      </c>
      <c r="B8" s="51">
        <f>AVERAGE(Table1[Compa-Ratio])</f>
        <v>0.9113562742875565</v>
      </c>
      <c r="C8" s="51">
        <f>AVERAGE(Table1[Post_Merit_Compa_Ratio])</f>
        <v>0.93937648569418031</v>
      </c>
    </row>
    <row r="9" spans="1:5" x14ac:dyDescent="0.3">
      <c r="A9" s="16" t="s">
        <v>157</v>
      </c>
      <c r="B9" s="51">
        <f>COUNTIF(Table1[Market_Position],"Below Market")/COUNTA(Table1[Market_Position])</f>
        <v>0.29499999999999998</v>
      </c>
      <c r="C9" s="51">
        <f>COUNTIF(Table1[Post_Merit_Position],"Below Market")/COUNTA(Table1[Post_Merit_Position])</f>
        <v>0.28000000000000003</v>
      </c>
    </row>
    <row r="11" spans="1:5" ht="18" x14ac:dyDescent="0.35">
      <c r="A11" s="52" t="s">
        <v>160</v>
      </c>
      <c r="B11" s="52"/>
      <c r="C11" s="52"/>
    </row>
    <row r="12" spans="1:5" x14ac:dyDescent="0.3">
      <c r="A12" s="49" t="s">
        <v>170</v>
      </c>
      <c r="B12" s="49" t="s">
        <v>171</v>
      </c>
      <c r="C12" s="17">
        <v>5</v>
      </c>
      <c r="D12" s="17">
        <v>4</v>
      </c>
      <c r="E12" s="16">
        <v>3</v>
      </c>
    </row>
    <row r="13" spans="1:5" ht="18" x14ac:dyDescent="0.35">
      <c r="A13" s="44"/>
      <c r="B13" s="44"/>
      <c r="C13" s="44"/>
    </row>
    <row r="14" spans="1:5" x14ac:dyDescent="0.3">
      <c r="A14" s="16" t="s">
        <v>161</v>
      </c>
      <c r="B14" s="45">
        <f>AVERAGEIF(Table1[Merit_Percent],"&gt;0")</f>
        <v>3.6810344827586217E-2</v>
      </c>
      <c r="C14" s="45">
        <f>AVERAGEIFS(Table1[Merit_Percent],Table1[Performance_Rating],5)</f>
        <v>5.1428571428571455E-2</v>
      </c>
      <c r="D14" s="45">
        <f>AVERAGEIFS(Table1[Merit_Percent],Table1[Performance_Rating],4)</f>
        <v>4.155172413793104E-2</v>
      </c>
      <c r="E14" s="45">
        <f>AVERAGEIFS(Table1[Merit_Percent],Table1[Performance_Rating],3)</f>
        <v>3.0684210526315779E-2</v>
      </c>
    </row>
    <row r="15" spans="1:5" x14ac:dyDescent="0.3">
      <c r="A15" s="16" t="s">
        <v>162</v>
      </c>
      <c r="B15" s="41">
        <f>AVERAGEIF(Table1[Merit_Amount],"&gt;0")</f>
        <v>2859.1968103448271</v>
      </c>
      <c r="C15" s="50">
        <f>AVERAGEIFS(Table1[Merit_Amount],Table1[Performance_Rating],5)</f>
        <v>4021.8966666666665</v>
      </c>
      <c r="D15" s="50">
        <f>AVERAGEIFS(Table1[Merit_Amount],Table1[Performance_Rating],4)</f>
        <v>3228.8475862068967</v>
      </c>
      <c r="E15" s="50">
        <f>AVERAGEIFS(Table1[Merit_Amount],Table1[Performance_Rating],3)</f>
        <v>2376.4974210526316</v>
      </c>
    </row>
    <row r="16" spans="1:5" x14ac:dyDescent="0.3">
      <c r="A16" s="16" t="s">
        <v>163</v>
      </c>
      <c r="B16" s="41">
        <f>MAX(Table1[Merit_Amount])</f>
        <v>5651.04</v>
      </c>
      <c r="C16" s="50">
        <f>_xlfn.MAXIFS(Table1[Merit_Amount],Table1[Performance_Rating],5)</f>
        <v>5651.04</v>
      </c>
      <c r="D16" s="50">
        <f>_xlfn.MAXIFS(Table1[Merit_Amount],Table1[Performance_Rating],4)</f>
        <v>4922.8500000000004</v>
      </c>
      <c r="E16" s="50">
        <f>_xlfn.MAXIFS(Table1[Merit_Amount],Table1[Performance_Rating],3)</f>
        <v>3608.7100000000005</v>
      </c>
    </row>
    <row r="18" spans="1:3" ht="18" x14ac:dyDescent="0.35">
      <c r="A18" s="52" t="s">
        <v>164</v>
      </c>
      <c r="B18" s="52"/>
      <c r="C18" s="52"/>
    </row>
    <row r="19" spans="1:3" x14ac:dyDescent="0.3">
      <c r="A19" s="46" t="s">
        <v>165</v>
      </c>
      <c r="B19" s="41">
        <f>Merit_Budget_Summary!B5</f>
        <v>465001.88999999996</v>
      </c>
    </row>
    <row r="20" spans="1:3" x14ac:dyDescent="0.3">
      <c r="A20" s="46" t="s">
        <v>166</v>
      </c>
      <c r="B20" s="41">
        <f>Merit_Budget_Summary!B7</f>
        <v>497500.24499999988</v>
      </c>
    </row>
    <row r="21" spans="1:3" x14ac:dyDescent="0.3">
      <c r="A21" s="46" t="s">
        <v>151</v>
      </c>
      <c r="B21" s="26">
        <f>Merit_Budget_Summary!B9</f>
        <v>-32498.354999999923</v>
      </c>
    </row>
  </sheetData>
  <mergeCells count="5">
    <mergeCell ref="A1:D1"/>
    <mergeCell ref="A5:C5"/>
    <mergeCell ref="A11:C11"/>
    <mergeCell ref="A18:C18"/>
    <mergeCell ref="A2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A738-A37C-4DE5-B1F7-BC16CB784C5A}">
  <dimension ref="A1:B11"/>
  <sheetViews>
    <sheetView workbookViewId="0">
      <selection activeCell="J19" sqref="J19"/>
    </sheetView>
  </sheetViews>
  <sheetFormatPr defaultRowHeight="14.4" x14ac:dyDescent="0.3"/>
  <cols>
    <col min="1" max="1" width="18.109375" customWidth="1"/>
    <col min="2" max="2" width="14.88671875" bestFit="1" customWidth="1"/>
  </cols>
  <sheetData>
    <row r="1" spans="1:2" ht="18" x14ac:dyDescent="0.35">
      <c r="A1" s="43" t="s">
        <v>169</v>
      </c>
      <c r="B1" s="43"/>
    </row>
    <row r="3" spans="1:2" x14ac:dyDescent="0.3">
      <c r="A3" s="16" t="s">
        <v>148</v>
      </c>
      <c r="B3" s="41">
        <f>SUM(Table1[base_salary])</f>
        <v>15500063</v>
      </c>
    </row>
    <row r="4" spans="1:2" x14ac:dyDescent="0.3">
      <c r="A4" s="16"/>
      <c r="B4" s="41"/>
    </row>
    <row r="5" spans="1:2" x14ac:dyDescent="0.3">
      <c r="A5" s="16" t="s">
        <v>149</v>
      </c>
      <c r="B5" s="41">
        <f>B3*0.03</f>
        <v>465001.88999999996</v>
      </c>
    </row>
    <row r="6" spans="1:2" x14ac:dyDescent="0.3">
      <c r="A6" s="16"/>
      <c r="B6" s="41"/>
    </row>
    <row r="7" spans="1:2" x14ac:dyDescent="0.3">
      <c r="A7" s="16" t="s">
        <v>150</v>
      </c>
      <c r="B7" s="41">
        <f>SUM(Table1[Merit_Amount])</f>
        <v>497500.24499999988</v>
      </c>
    </row>
    <row r="8" spans="1:2" x14ac:dyDescent="0.3">
      <c r="A8" s="16"/>
    </row>
    <row r="9" spans="1:2" x14ac:dyDescent="0.3">
      <c r="A9" s="16" t="s">
        <v>151</v>
      </c>
      <c r="B9" s="26">
        <f>B5-B7</f>
        <v>-32498.354999999923</v>
      </c>
    </row>
    <row r="10" spans="1:2" x14ac:dyDescent="0.3">
      <c r="A10" s="16"/>
      <c r="B10" s="26"/>
    </row>
    <row r="11" spans="1:2" x14ac:dyDescent="0.3">
      <c r="A11" s="16" t="s">
        <v>152</v>
      </c>
      <c r="B11" s="26">
        <f>B5/B7</f>
        <v>0.93467670553609494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A03D-3245-4F78-B739-4BFB55A0F391}">
  <dimension ref="A1:N11"/>
  <sheetViews>
    <sheetView workbookViewId="0">
      <selection activeCell="G11" sqref="G11"/>
    </sheetView>
  </sheetViews>
  <sheetFormatPr defaultRowHeight="14.4" x14ac:dyDescent="0.3"/>
  <sheetData>
    <row r="1" spans="1:14" x14ac:dyDescent="0.3">
      <c r="A1" s="16" t="s">
        <v>128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3">
      <c r="A2" s="48" t="s">
        <v>129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x14ac:dyDescent="0.3">
      <c r="A4" s="16" t="s">
        <v>130</v>
      </c>
    </row>
    <row r="5" spans="1:14" x14ac:dyDescent="0.3">
      <c r="A5" s="39" t="s">
        <v>131</v>
      </c>
      <c r="B5" s="39"/>
      <c r="C5" s="39"/>
      <c r="D5" s="39"/>
      <c r="E5" s="39"/>
      <c r="F5" s="39"/>
    </row>
    <row r="7" spans="1:14" x14ac:dyDescent="0.3">
      <c r="A7" s="16"/>
    </row>
    <row r="8" spans="1:14" x14ac:dyDescent="0.3">
      <c r="A8" s="25"/>
    </row>
    <row r="9" spans="1:14" x14ac:dyDescent="0.3">
      <c r="A9" s="25"/>
    </row>
    <row r="10" spans="1:14" x14ac:dyDescent="0.3">
      <c r="A10" s="25"/>
    </row>
    <row r="11" spans="1:14" x14ac:dyDescent="0.3">
      <c r="A11" s="25"/>
    </row>
  </sheetData>
  <mergeCells count="3">
    <mergeCell ref="A5:F5"/>
    <mergeCell ref="B1:N1"/>
    <mergeCell ref="A2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4461-BB91-4E32-A7A6-7048F0E6DAAA}">
  <dimension ref="A1:AE202"/>
  <sheetViews>
    <sheetView workbookViewId="0">
      <selection activeCell="C38" sqref="C38"/>
    </sheetView>
  </sheetViews>
  <sheetFormatPr defaultRowHeight="14.4" x14ac:dyDescent="0.3"/>
  <cols>
    <col min="1" max="1" width="13.5546875" customWidth="1"/>
    <col min="2" max="2" width="15.5546875" customWidth="1"/>
    <col min="3" max="3" width="11.5546875" customWidth="1"/>
    <col min="4" max="4" width="10.33203125" customWidth="1"/>
    <col min="5" max="5" width="15.109375" customWidth="1"/>
    <col min="6" max="6" width="12.77734375" customWidth="1"/>
    <col min="7" max="7" width="9.6640625" customWidth="1"/>
    <col min="8" max="8" width="12.6640625" style="41" customWidth="1"/>
    <col min="9" max="9" width="14.88671875" customWidth="1"/>
    <col min="10" max="10" width="19.109375" customWidth="1"/>
    <col min="12" max="12" width="10.6640625" customWidth="1"/>
    <col min="13" max="13" width="17.33203125" customWidth="1"/>
    <col min="14" max="14" width="12.109375" style="42" customWidth="1"/>
    <col min="15" max="15" width="15.109375" style="42" customWidth="1"/>
    <col min="16" max="16" width="12.109375" style="42" customWidth="1"/>
    <col min="17" max="17" width="13.88671875" customWidth="1"/>
    <col min="18" max="18" width="18.33203125" customWidth="1"/>
    <col min="19" max="19" width="16.21875" customWidth="1"/>
    <col min="20" max="20" width="22" customWidth="1"/>
    <col min="21" max="21" width="19.33203125" style="41" customWidth="1"/>
    <col min="22" max="22" width="17.109375" style="41" customWidth="1"/>
    <col min="23" max="23" width="12" bestFit="1" customWidth="1"/>
    <col min="25" max="25" width="15.88671875" customWidth="1"/>
    <col min="26" max="26" width="14.5546875" customWidth="1"/>
    <col min="27" max="27" width="16" customWidth="1"/>
    <col min="28" max="28" width="16.21875" style="41" customWidth="1"/>
    <col min="29" max="29" width="19.33203125" style="41" customWidth="1"/>
    <col min="30" max="30" width="24.6640625" customWidth="1"/>
    <col min="31" max="31" width="17.77734375" customWidth="1"/>
  </cols>
  <sheetData>
    <row r="1" spans="1:31" x14ac:dyDescent="0.3">
      <c r="N1" s="29" t="s">
        <v>135</v>
      </c>
      <c r="O1" s="29"/>
      <c r="P1" s="29"/>
      <c r="Q1" s="29"/>
      <c r="R1" s="29"/>
      <c r="S1" s="30"/>
      <c r="T1" s="17"/>
      <c r="U1" s="29" t="s">
        <v>136</v>
      </c>
      <c r="V1" s="29"/>
      <c r="W1" s="29"/>
      <c r="X1" s="30"/>
    </row>
    <row r="2" spans="1:3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41" t="s">
        <v>7</v>
      </c>
      <c r="I2" t="s">
        <v>8</v>
      </c>
      <c r="J2" t="s">
        <v>144</v>
      </c>
      <c r="K2" t="s">
        <v>9</v>
      </c>
      <c r="L2" t="s">
        <v>10</v>
      </c>
      <c r="M2" t="s">
        <v>11</v>
      </c>
      <c r="N2" s="42" t="s">
        <v>59</v>
      </c>
      <c r="O2" s="42" t="s">
        <v>60</v>
      </c>
      <c r="P2" s="42" t="s">
        <v>61</v>
      </c>
      <c r="Q2" t="s">
        <v>123</v>
      </c>
      <c r="R2" t="s">
        <v>142</v>
      </c>
      <c r="S2" s="23" t="s">
        <v>141</v>
      </c>
      <c r="T2" s="22" t="s">
        <v>137</v>
      </c>
      <c r="U2" s="41" t="s">
        <v>124</v>
      </c>
      <c r="V2" s="41" t="s">
        <v>125</v>
      </c>
      <c r="W2" t="s">
        <v>126</v>
      </c>
      <c r="X2" s="23" t="s">
        <v>127</v>
      </c>
      <c r="Y2" t="s">
        <v>138</v>
      </c>
      <c r="Z2" t="s">
        <v>143</v>
      </c>
      <c r="AA2" t="s">
        <v>140</v>
      </c>
      <c r="AB2" s="41" t="s">
        <v>145</v>
      </c>
      <c r="AC2" s="41" t="s">
        <v>146</v>
      </c>
      <c r="AD2" t="s">
        <v>147</v>
      </c>
      <c r="AE2" t="s">
        <v>156</v>
      </c>
    </row>
    <row r="3" spans="1:31" x14ac:dyDescent="0.3">
      <c r="A3">
        <v>1000</v>
      </c>
      <c r="B3" t="s">
        <v>12</v>
      </c>
      <c r="C3" t="s">
        <v>13</v>
      </c>
      <c r="D3">
        <v>4</v>
      </c>
      <c r="E3" t="s">
        <v>14</v>
      </c>
      <c r="F3" t="s">
        <v>13</v>
      </c>
      <c r="G3" t="s">
        <v>15</v>
      </c>
      <c r="H3" s="41">
        <v>99964</v>
      </c>
      <c r="I3" t="b">
        <v>1</v>
      </c>
      <c r="J3">
        <v>3</v>
      </c>
      <c r="K3" t="s">
        <v>16</v>
      </c>
      <c r="L3" s="1">
        <v>42836</v>
      </c>
      <c r="M3">
        <v>8</v>
      </c>
      <c r="N3" s="42">
        <f>VLOOKUP(B3,Market_Salary_Benchmarks!$A$1:$G$11,5,FALSE)</f>
        <v>74720</v>
      </c>
      <c r="O3" s="42">
        <f>VLOOKUP(B3,Market_Salary_Benchmarks!$A$1:$G$11,6,FALSE)</f>
        <v>106330</v>
      </c>
      <c r="P3" s="42">
        <f>VLOOKUP(B3,Market_Salary_Benchmarks!$A$1:$G$11,7,FALSE)</f>
        <v>162780</v>
      </c>
      <c r="Q3" s="26">
        <f t="shared" ref="Q3:Q34" si="0">H3/O3</f>
        <v>0.9401297846327471</v>
      </c>
      <c r="R3" s="26">
        <f t="shared" ref="R3:R34" si="1">(H3-N3)/(P3-N3)</f>
        <v>0.28666818078582784</v>
      </c>
      <c r="S3" s="23" t="str">
        <f t="shared" ref="S3:S34" si="2">IF(H3 &lt; N3, "Below Market", IF(H3 &gt; P3, "Above Market", "At Market"))</f>
        <v>At Market</v>
      </c>
      <c r="T3" s="22" t="str">
        <f>B3 &amp; "-" &amp; D3</f>
        <v>Operations Manager-4</v>
      </c>
      <c r="U3" s="41">
        <f t="shared" ref="U3:U34" si="3">AVERAGEIFS(H:H, K:K, "Female", B:B, B3, D:D, D3)</f>
        <v>96094.111111111109</v>
      </c>
      <c r="V3" s="41">
        <f t="shared" ref="V3:V34" si="4">AVERAGEIFS(H:H, K:K, "Male", B:B, B3, D:D, D3)</f>
        <v>95248.28571428571</v>
      </c>
      <c r="W3" s="27">
        <f>(V3-U3)/V3</f>
        <v>-8.8802164835029597E-3</v>
      </c>
      <c r="X3" s="23" t="str">
        <f>IF(ABS(W3) &gt;= 0.1, "High Risk",
 IF(ABS(W3) &gt;= 0.05, "Moderate Risk",
 "Low Risk"))</f>
        <v>Low Risk</v>
      </c>
      <c r="Y3" t="str">
        <f>IF(J3&gt;=3,"Yes","No")</f>
        <v>Yes</v>
      </c>
      <c r="Z3">
        <f t="shared" ref="Z3:Z34" si="5">IF(TRIM(S3)="Below Market",1,
 IF(TRIM(S3)="At Market",2,
 IF(TRIM(S3)="Above Market",3,0)))</f>
        <v>2</v>
      </c>
      <c r="AA3" s="26" cm="1">
        <f t="array" ref="AA3">IF($Y3&lt;&gt;"Yes",0,INDEX(Merit_Matrix!$B$2:$D$4,MATCH($J3,Merit_Matrix!$A$2:$A$4,0),Z3))</f>
        <v>0.03</v>
      </c>
      <c r="AB3" s="41">
        <f t="shared" ref="AB3:AB34" si="6">H3*AA3</f>
        <v>2998.92</v>
      </c>
      <c r="AC3" s="41">
        <f t="shared" ref="AC3:AC34" si="7">H3+AB3</f>
        <v>102962.92</v>
      </c>
      <c r="AD3" s="26">
        <f t="shared" ref="AD3:AD34" si="8">AC3/O3</f>
        <v>0.96833367817172955</v>
      </c>
      <c r="AE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" spans="1:31" x14ac:dyDescent="0.3">
      <c r="A4">
        <v>1001</v>
      </c>
      <c r="B4" t="s">
        <v>17</v>
      </c>
      <c r="C4" t="s">
        <v>18</v>
      </c>
      <c r="D4">
        <v>2</v>
      </c>
      <c r="E4" t="s">
        <v>14</v>
      </c>
      <c r="F4" t="s">
        <v>18</v>
      </c>
      <c r="G4" t="s">
        <v>15</v>
      </c>
      <c r="H4" s="41">
        <v>61636</v>
      </c>
      <c r="I4" t="b">
        <v>0</v>
      </c>
      <c r="J4">
        <v>4</v>
      </c>
      <c r="K4" t="s">
        <v>19</v>
      </c>
      <c r="L4" s="1">
        <v>43139</v>
      </c>
      <c r="M4">
        <v>9</v>
      </c>
      <c r="N4" s="42">
        <f>VLOOKUP(B4,Market_Salary_Benchmarks!$A$1:$G$11,5,FALSE)</f>
        <v>81130</v>
      </c>
      <c r="O4" s="42">
        <f>VLOOKUP(B4,Market_Salary_Benchmarks!$A$1:$G$11,6,FALSE)</f>
        <v>103730</v>
      </c>
      <c r="P4" s="42">
        <f>VLOOKUP(B4,Market_Salary_Benchmarks!$A$1:$G$11,7,FALSE)</f>
        <v>132670</v>
      </c>
      <c r="Q4" s="26">
        <f>H4/O4</f>
        <v>0.59419647160898481</v>
      </c>
      <c r="R4" s="26">
        <f>(H4-N4)/(P4-N4)</f>
        <v>-0.37823050058207219</v>
      </c>
      <c r="S4" s="23" t="str">
        <f>IF(H4 &lt; N4, "Below Market", IF(H4 &gt; P4, "Above Market", "At Market"))</f>
        <v>Below Market</v>
      </c>
      <c r="T4" s="22" t="str">
        <f>B4 &amp; "-" &amp; D4</f>
        <v>IT Analyst-2</v>
      </c>
      <c r="U4" s="41">
        <f>AVERAGEIFS(H:H, K:K, "Female", B:B, B4, D:D, D4)</f>
        <v>55600.230769230766</v>
      </c>
      <c r="V4" s="41">
        <f>AVERAGEIFS(H:H, K:K, "Male", B:B, B4, D:D, D4)</f>
        <v>58468.727272727272</v>
      </c>
      <c r="W4" s="27">
        <f>(V4-U4)/V4</f>
        <v>4.9060354779340579E-2</v>
      </c>
      <c r="X4" s="23" t="str">
        <f>IF(ABS(W4) &gt;= 0.1, "High Risk",
 IF(ABS(W4) &gt;= 0.05, "Moderate Risk",
 "Low Risk"))</f>
        <v>Low Risk</v>
      </c>
      <c r="Y4" t="str">
        <f>IF(J4&gt;=3,"Yes","No")</f>
        <v>Yes</v>
      </c>
      <c r="Z4">
        <f>IF(TRIM(S4)="Below Market",1,
 IF(TRIM(S4)="At Market",2,
 IF(TRIM(S4)="Above Market",3,0)))</f>
        <v>1</v>
      </c>
      <c r="AA4" s="26" cm="1">
        <f t="array" ref="AA4">IF($Y4&lt;&gt;"Yes",0,INDEX(Merit_Matrix!$B$2:$D$4,MATCH($J4,Merit_Matrix!$A$2:$A$4,0),Z4))</f>
        <v>0.05</v>
      </c>
      <c r="AB4" s="41">
        <f>H4*AA4</f>
        <v>3081.8</v>
      </c>
      <c r="AC4" s="41">
        <f>H4+AB4</f>
        <v>64717.8</v>
      </c>
      <c r="AD4" s="26">
        <f>AC4/O4</f>
        <v>0.62390629518943419</v>
      </c>
      <c r="AE4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5" spans="1:31" x14ac:dyDescent="0.3">
      <c r="A5">
        <v>1002</v>
      </c>
      <c r="B5" t="s">
        <v>20</v>
      </c>
      <c r="C5" t="s">
        <v>13</v>
      </c>
      <c r="D5">
        <v>3</v>
      </c>
      <c r="E5" t="s">
        <v>21</v>
      </c>
      <c r="F5" t="s">
        <v>13</v>
      </c>
      <c r="G5" t="s">
        <v>15</v>
      </c>
      <c r="H5" s="41">
        <v>75311</v>
      </c>
      <c r="I5" t="b">
        <v>1</v>
      </c>
      <c r="J5">
        <v>2</v>
      </c>
      <c r="K5" t="s">
        <v>16</v>
      </c>
      <c r="L5" s="1">
        <v>42391</v>
      </c>
      <c r="M5">
        <v>14</v>
      </c>
      <c r="N5" s="42">
        <f>VLOOKUP(B5,Market_Salary_Benchmarks!$A$1:$G$11,5,FALSE)</f>
        <v>52500</v>
      </c>
      <c r="O5" s="42">
        <f>VLOOKUP(B5,Market_Salary_Benchmarks!$A$1:$G$11,6,FALSE)</f>
        <v>67210</v>
      </c>
      <c r="P5" s="42">
        <f>VLOOKUP(B5,Market_Salary_Benchmarks!$A$1:$G$11,7,FALSE)</f>
        <v>83970</v>
      </c>
      <c r="Q5" s="26">
        <f>H5/O5</f>
        <v>1.1205326588305311</v>
      </c>
      <c r="R5" s="26">
        <f>(H5-N5)/(P5-N5)</f>
        <v>0.72484906259930093</v>
      </c>
      <c r="S5" s="23" t="str">
        <f>IF(H5 &lt; N5, "Below Market", IF(H5 &gt; P5, "Above Market", "At Market"))</f>
        <v>At Market</v>
      </c>
      <c r="T5" s="22" t="str">
        <f>B5 &amp; "-" &amp; D5</f>
        <v>Operations Supervisor-3</v>
      </c>
      <c r="U5" s="41">
        <f>AVERAGEIFS(H:H, K:K, "Female", B:B, B5, D:D, D5)</f>
        <v>79072.21428571429</v>
      </c>
      <c r="V5" s="41">
        <f>AVERAGEIFS(H:H, K:K, "Male", B:B, B5, D:D, D5)</f>
        <v>76780.28571428571</v>
      </c>
      <c r="W5" s="27">
        <f>(V5-U5)/V5</f>
        <v>-2.9850482452713045E-2</v>
      </c>
      <c r="X5" s="23" t="str">
        <f>IF(ABS(W5) &gt;= 0.1, "High Risk",
 IF(ABS(W5) &gt;= 0.05, "Moderate Risk",
 "Low Risk"))</f>
        <v>Low Risk</v>
      </c>
      <c r="Y5" t="str">
        <f>IF(J5&gt;=3,"Yes","No")</f>
        <v>No</v>
      </c>
      <c r="Z5">
        <f>IF(TRIM(S5)="Below Market",1,
 IF(TRIM(S5)="At Market",2,
 IF(TRIM(S5)="Above Market",3,0)))</f>
        <v>2</v>
      </c>
      <c r="AA5" s="26" cm="1">
        <f t="array" ref="AA5">IF($Y5&lt;&gt;"Yes",0,INDEX(Merit_Matrix!$B$2:$D$4,MATCH($J5,Merit_Matrix!$A$2:$A$4,0),Z5))</f>
        <v>0</v>
      </c>
      <c r="AB5" s="41">
        <f>H5*AA5</f>
        <v>0</v>
      </c>
      <c r="AC5" s="41">
        <f>H5+AB5</f>
        <v>75311</v>
      </c>
      <c r="AD5" s="26">
        <f>AC5/O5</f>
        <v>1.1205326588305311</v>
      </c>
      <c r="AE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6" spans="1:31" x14ac:dyDescent="0.3">
      <c r="A6">
        <v>1003</v>
      </c>
      <c r="B6" t="s">
        <v>22</v>
      </c>
      <c r="C6" t="s">
        <v>18</v>
      </c>
      <c r="D6">
        <v>3</v>
      </c>
      <c r="E6" t="s">
        <v>14</v>
      </c>
      <c r="F6" t="s">
        <v>18</v>
      </c>
      <c r="G6" t="s">
        <v>15</v>
      </c>
      <c r="H6" s="41">
        <v>79274</v>
      </c>
      <c r="I6" t="b">
        <v>1</v>
      </c>
      <c r="J6">
        <v>3</v>
      </c>
      <c r="K6" t="s">
        <v>16</v>
      </c>
      <c r="L6" s="1">
        <v>45104</v>
      </c>
      <c r="M6">
        <v>4</v>
      </c>
      <c r="N6" s="42">
        <f>VLOOKUP(B6,Market_Salary_Benchmarks!$A$1:$G$11,5,FALSE)</f>
        <v>103040</v>
      </c>
      <c r="O6" s="42">
        <f>VLOOKUP(B6,Market_Salary_Benchmarks!$A$1:$G$11,6,FALSE)</f>
        <v>133500</v>
      </c>
      <c r="P6" s="42">
        <f>VLOOKUP(B6,Market_Salary_Benchmarks!$A$1:$G$11,7,FALSE)</f>
        <v>171680</v>
      </c>
      <c r="Q6" s="26">
        <f>H6/O6</f>
        <v>0.59381273408239699</v>
      </c>
      <c r="R6" s="26">
        <f>(H6-N6)/(P6-N6)</f>
        <v>-0.34624125874125872</v>
      </c>
      <c r="S6" s="23" t="str">
        <f>IF(H6 &lt; N6, "Below Market", IF(H6 &gt; P6, "Above Market", "At Market"))</f>
        <v>Below Market</v>
      </c>
      <c r="T6" s="22" t="str">
        <f>B6 &amp; "-" &amp; D6</f>
        <v>Senior IT Analyst-3</v>
      </c>
      <c r="U6" s="41">
        <f>AVERAGEIFS(H:H, K:K, "Female", B:B, B6, D:D, D6)</f>
        <v>78401.571428571435</v>
      </c>
      <c r="V6" s="41">
        <f>AVERAGEIFS(H:H, K:K, "Male", B:B, B6, D:D, D6)</f>
        <v>75875.125</v>
      </c>
      <c r="W6" s="27">
        <f>(V6-U6)/V6</f>
        <v>-3.3297426904686282E-2</v>
      </c>
      <c r="X6" s="23" t="str">
        <f>IF(ABS(W6) &gt;= 0.1, "High Risk",
 IF(ABS(W6) &gt;= 0.05, "Moderate Risk",
 "Low Risk"))</f>
        <v>Low Risk</v>
      </c>
      <c r="Y6" t="str">
        <f>IF(J6&gt;=3,"Yes","No")</f>
        <v>Yes</v>
      </c>
      <c r="Z6">
        <f>IF(TRIM(S6)="Below Market",1,
 IF(TRIM(S6)="At Market",2,
 IF(TRIM(S6)="Above Market",3,0)))</f>
        <v>1</v>
      </c>
      <c r="AA6" s="26" cm="1">
        <f t="array" ref="AA6">IF($Y6&lt;&gt;"Yes",0,INDEX(Merit_Matrix!$B$2:$D$4,MATCH($J6,Merit_Matrix!$A$2:$A$4,0),Z6))</f>
        <v>3.5000000000000003E-2</v>
      </c>
      <c r="AB6" s="41">
        <f>H6*AA6</f>
        <v>2774.59</v>
      </c>
      <c r="AC6" s="41">
        <f>H6+AB6</f>
        <v>82048.59</v>
      </c>
      <c r="AD6" s="26">
        <f>AC6/O6</f>
        <v>0.61459617977528092</v>
      </c>
      <c r="AE6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7" spans="1:31" x14ac:dyDescent="0.3">
      <c r="A7">
        <v>1004</v>
      </c>
      <c r="B7" t="s">
        <v>12</v>
      </c>
      <c r="C7" t="s">
        <v>13</v>
      </c>
      <c r="D7">
        <v>4</v>
      </c>
      <c r="E7" t="s">
        <v>14</v>
      </c>
      <c r="F7" t="s">
        <v>13</v>
      </c>
      <c r="G7" t="s">
        <v>15</v>
      </c>
      <c r="H7" s="41">
        <v>99394</v>
      </c>
      <c r="I7" t="b">
        <v>1</v>
      </c>
      <c r="J7">
        <v>4</v>
      </c>
      <c r="K7" t="s">
        <v>19</v>
      </c>
      <c r="L7" s="1">
        <v>44438</v>
      </c>
      <c r="M7">
        <v>10</v>
      </c>
      <c r="N7" s="42">
        <f>VLOOKUP(B7,Market_Salary_Benchmarks!$A$1:$G$11,5,FALSE)</f>
        <v>74720</v>
      </c>
      <c r="O7" s="42">
        <f>VLOOKUP(B7,Market_Salary_Benchmarks!$A$1:$G$11,6,FALSE)</f>
        <v>106330</v>
      </c>
      <c r="P7" s="42">
        <f>VLOOKUP(B7,Market_Salary_Benchmarks!$A$1:$G$11,7,FALSE)</f>
        <v>162780</v>
      </c>
      <c r="Q7" s="26">
        <f>H7/O7</f>
        <v>0.93476911501927962</v>
      </c>
      <c r="R7" s="26">
        <f>(H7-N7)/(P7-N7)</f>
        <v>0.28019532137179198</v>
      </c>
      <c r="S7" s="23" t="str">
        <f>IF(H7 &lt; N7, "Below Market", IF(H7 &gt; P7, "Above Market", "At Market"))</f>
        <v>At Market</v>
      </c>
      <c r="T7" s="22" t="str">
        <f>B7 &amp; "-" &amp; D7</f>
        <v>Operations Manager-4</v>
      </c>
      <c r="U7" s="41">
        <f>AVERAGEIFS(H:H, K:K, "Female", B:B, B7, D:D, D7)</f>
        <v>96094.111111111109</v>
      </c>
      <c r="V7" s="41">
        <f>AVERAGEIFS(H:H, K:K, "Male", B:B, B7, D:D, D7)</f>
        <v>95248.28571428571</v>
      </c>
      <c r="W7" s="27">
        <f>(V7-U7)/V7</f>
        <v>-8.8802164835029597E-3</v>
      </c>
      <c r="X7" s="23" t="str">
        <f>IF(ABS(W7) &gt;= 0.1, "High Risk",
 IF(ABS(W7) &gt;= 0.05, "Moderate Risk",
 "Low Risk"))</f>
        <v>Low Risk</v>
      </c>
      <c r="Y7" t="str">
        <f>IF(J7&gt;=3,"Yes","No")</f>
        <v>Yes</v>
      </c>
      <c r="Z7">
        <f>IF(TRIM(S7)="Below Market",1,
 IF(TRIM(S7)="At Market",2,
 IF(TRIM(S7)="Above Market",3,0)))</f>
        <v>2</v>
      </c>
      <c r="AA7" s="26" cm="1">
        <f t="array" ref="AA7">IF($Y7&lt;&gt;"Yes",0,INDEX(Merit_Matrix!$B$2:$D$4,MATCH($J7,Merit_Matrix!$A$2:$A$4,0),Z7))</f>
        <v>0.04</v>
      </c>
      <c r="AB7" s="41">
        <f>H7*AA7</f>
        <v>3975.76</v>
      </c>
      <c r="AC7" s="41">
        <f>H7+AB7</f>
        <v>103369.76</v>
      </c>
      <c r="AD7" s="26">
        <f>AC7/O7</f>
        <v>0.97215987962005068</v>
      </c>
      <c r="AE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8" spans="1:31" x14ac:dyDescent="0.3">
      <c r="A8">
        <v>1005</v>
      </c>
      <c r="B8" t="s">
        <v>12</v>
      </c>
      <c r="C8" t="s">
        <v>13</v>
      </c>
      <c r="D8">
        <v>4</v>
      </c>
      <c r="E8" t="s">
        <v>14</v>
      </c>
      <c r="F8" t="s">
        <v>13</v>
      </c>
      <c r="G8" t="s">
        <v>15</v>
      </c>
      <c r="H8" s="41">
        <v>96792</v>
      </c>
      <c r="I8" t="b">
        <v>1</v>
      </c>
      <c r="J8">
        <v>5</v>
      </c>
      <c r="K8" t="s">
        <v>16</v>
      </c>
      <c r="L8" s="1">
        <v>44411</v>
      </c>
      <c r="M8">
        <v>10</v>
      </c>
      <c r="N8" s="42">
        <f>VLOOKUP(B8,Market_Salary_Benchmarks!$A$1:$G$11,5,FALSE)</f>
        <v>74720</v>
      </c>
      <c r="O8" s="42">
        <f>VLOOKUP(B8,Market_Salary_Benchmarks!$A$1:$G$11,6,FALSE)</f>
        <v>106330</v>
      </c>
      <c r="P8" s="42">
        <f>VLOOKUP(B8,Market_Salary_Benchmarks!$A$1:$G$11,7,FALSE)</f>
        <v>162780</v>
      </c>
      <c r="Q8" s="26">
        <f>H8/O8</f>
        <v>0.91029812846797709</v>
      </c>
      <c r="R8" s="26">
        <f>(H8-N8)/(P8-N8)</f>
        <v>0.25064728594140356</v>
      </c>
      <c r="S8" s="23" t="str">
        <f>IF(H8 &lt; N8, "Below Market", IF(H8 &gt; P8, "Above Market", "At Market"))</f>
        <v>At Market</v>
      </c>
      <c r="T8" s="22" t="str">
        <f>B8 &amp; "-" &amp; D8</f>
        <v>Operations Manager-4</v>
      </c>
      <c r="U8" s="41">
        <f>AVERAGEIFS(H:H, K:K, "Female", B:B, B8, D:D, D8)</f>
        <v>96094.111111111109</v>
      </c>
      <c r="V8" s="41">
        <f>AVERAGEIFS(H:H, K:K, "Male", B:B, B8, D:D, D8)</f>
        <v>95248.28571428571</v>
      </c>
      <c r="W8" s="27">
        <f>(V8-U8)/V8</f>
        <v>-8.8802164835029597E-3</v>
      </c>
      <c r="X8" s="23" t="str">
        <f>IF(ABS(W8) &gt;= 0.1, "High Risk",
 IF(ABS(W8) &gt;= 0.05, "Moderate Risk",
 "Low Risk"))</f>
        <v>Low Risk</v>
      </c>
      <c r="Y8" t="str">
        <f>IF(J8&gt;=3,"Yes","No")</f>
        <v>Yes</v>
      </c>
      <c r="Z8">
        <f>IF(TRIM(S8)="Below Market",1,
 IF(TRIM(S8)="At Market",2,
 IF(TRIM(S8)="Above Market",3,0)))</f>
        <v>2</v>
      </c>
      <c r="AA8" s="26" cm="1">
        <f t="array" ref="AA8">IF($Y8&lt;&gt;"Yes",0,INDEX(Merit_Matrix!$B$2:$D$4,MATCH($J8,Merit_Matrix!$A$2:$A$4,0),Z8))</f>
        <v>0.05</v>
      </c>
      <c r="AB8" s="41">
        <f>H8*AA8</f>
        <v>4839.6000000000004</v>
      </c>
      <c r="AC8" s="41">
        <f>H8+AB8</f>
        <v>101631.6</v>
      </c>
      <c r="AD8" s="26">
        <f>AC8/O8</f>
        <v>0.95581303489137592</v>
      </c>
      <c r="AE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" spans="1:31" x14ac:dyDescent="0.3">
      <c r="A9">
        <v>1006</v>
      </c>
      <c r="B9" t="s">
        <v>23</v>
      </c>
      <c r="C9" t="s">
        <v>24</v>
      </c>
      <c r="D9">
        <v>4</v>
      </c>
      <c r="E9" t="s">
        <v>14</v>
      </c>
      <c r="F9" t="s">
        <v>24</v>
      </c>
      <c r="G9" t="s">
        <v>15</v>
      </c>
      <c r="H9" s="41">
        <v>103787</v>
      </c>
      <c r="I9" t="b">
        <v>1</v>
      </c>
      <c r="J9">
        <v>3</v>
      </c>
      <c r="K9" t="s">
        <v>19</v>
      </c>
      <c r="L9" s="1">
        <v>42404</v>
      </c>
      <c r="M9">
        <v>2</v>
      </c>
      <c r="N9" s="42">
        <f>VLOOKUP(B9,Market_Salary_Benchmarks!$A$1:$G$11,5,FALSE)</f>
        <v>82620</v>
      </c>
      <c r="O9" s="42">
        <f>VLOOKUP(B9,Market_Salary_Benchmarks!$A$1:$G$11,6,FALSE)</f>
        <v>110030</v>
      </c>
      <c r="P9" s="42">
        <f>VLOOKUP(B9,Market_Salary_Benchmarks!$A$1:$G$11,7,FALSE)</f>
        <v>146810</v>
      </c>
      <c r="Q9" s="26">
        <f>H9/O9</f>
        <v>0.94326092883758972</v>
      </c>
      <c r="R9" s="26">
        <f>(H9-N9)/(P9-N9)</f>
        <v>0.329755413615828</v>
      </c>
      <c r="S9" s="23" t="str">
        <f>IF(H9 &lt; N9, "Below Market", IF(H9 &gt; P9, "Above Market", "At Market"))</f>
        <v>At Market</v>
      </c>
      <c r="T9" s="22" t="str">
        <f>B9 &amp; "-" &amp; D9</f>
        <v>HR Manager-4</v>
      </c>
      <c r="U9" s="41">
        <f>AVERAGEIFS(H:H, K:K, "Female", B:B, B9, D:D, D9)</f>
        <v>97910.769230769234</v>
      </c>
      <c r="V9" s="41">
        <f>AVERAGEIFS(H:H, K:K, "Male", B:B, B9, D:D, D9)</f>
        <v>96300.666666666672</v>
      </c>
      <c r="W9" s="27">
        <f>(V9-U9)/V9</f>
        <v>-1.6719537048229805E-2</v>
      </c>
      <c r="X9" s="23" t="str">
        <f>IF(ABS(W9) &gt;= 0.1, "High Risk",
 IF(ABS(W9) &gt;= 0.05, "Moderate Risk",
 "Low Risk"))</f>
        <v>Low Risk</v>
      </c>
      <c r="Y9" t="str">
        <f>IF(J9&gt;=3,"Yes","No")</f>
        <v>Yes</v>
      </c>
      <c r="Z9">
        <f>IF(TRIM(S9)="Below Market",1,
 IF(TRIM(S9)="At Market",2,
 IF(TRIM(S9)="Above Market",3,0)))</f>
        <v>2</v>
      </c>
      <c r="AA9" s="26" cm="1">
        <f t="array" ref="AA9">IF($Y9&lt;&gt;"Yes",0,INDEX(Merit_Matrix!$B$2:$D$4,MATCH($J9,Merit_Matrix!$A$2:$A$4,0),Z9))</f>
        <v>0.03</v>
      </c>
      <c r="AB9" s="41">
        <f>H9*AA9</f>
        <v>3113.6099999999997</v>
      </c>
      <c r="AC9" s="41">
        <f>H9+AB9</f>
        <v>106900.61</v>
      </c>
      <c r="AD9" s="26">
        <f>AC9/O9</f>
        <v>0.97155875670271741</v>
      </c>
      <c r="AE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" spans="1:31" x14ac:dyDescent="0.3">
      <c r="A10">
        <v>1007</v>
      </c>
      <c r="B10" t="s">
        <v>25</v>
      </c>
      <c r="C10" t="s">
        <v>26</v>
      </c>
      <c r="D10">
        <v>3</v>
      </c>
      <c r="E10" t="s">
        <v>14</v>
      </c>
      <c r="F10" t="s">
        <v>26</v>
      </c>
      <c r="G10" t="s">
        <v>15</v>
      </c>
      <c r="H10" s="41">
        <v>73943</v>
      </c>
      <c r="I10" t="b">
        <v>1</v>
      </c>
      <c r="J10">
        <v>3</v>
      </c>
      <c r="K10" t="s">
        <v>16</v>
      </c>
      <c r="L10" s="1">
        <v>43870</v>
      </c>
      <c r="M10">
        <v>3</v>
      </c>
      <c r="N10" s="42">
        <f>VLOOKUP(B10,Market_Salary_Benchmarks!$A$1:$G$11,5,FALSE)</f>
        <v>49460</v>
      </c>
      <c r="O10" s="42">
        <f>VLOOKUP(B10,Market_Salary_Benchmarks!$A$1:$G$11,6,FALSE)</f>
        <v>78370</v>
      </c>
      <c r="P10" s="42">
        <f>VLOOKUP(B10,Market_Salary_Benchmarks!$A$1:$G$11,7,FALSE)</f>
        <v>104330</v>
      </c>
      <c r="Q10" s="26">
        <f>H10/O10</f>
        <v>0.94351154778614266</v>
      </c>
      <c r="R10" s="26">
        <f>(H10-N10)/(P10-N10)</f>
        <v>0.44620010934937127</v>
      </c>
      <c r="S10" s="23" t="str">
        <f>IF(H10 &lt; N10, "Below Market", IF(H10 &gt; P10, "Above Market", "At Market"))</f>
        <v>At Market</v>
      </c>
      <c r="T10" s="22" t="str">
        <f>B10 &amp; "-" &amp; D10</f>
        <v>Financial Analyst-3</v>
      </c>
      <c r="U10" s="41">
        <f>AVERAGEIFS(H:H, K:K, "Female", B:B, B10, D:D, D10)</f>
        <v>76962.636363636368</v>
      </c>
      <c r="V10" s="41">
        <f>AVERAGEIFS(H:H, K:K, "Male", B:B, B10, D:D, D10)</f>
        <v>77416</v>
      </c>
      <c r="W10" s="27">
        <f>(V10-U10)/V10</f>
        <v>5.8562007383955823E-3</v>
      </c>
      <c r="X10" s="23" t="str">
        <f>IF(ABS(W10) &gt;= 0.1, "High Risk",
 IF(ABS(W10) &gt;= 0.05, "Moderate Risk",
 "Low Risk"))</f>
        <v>Low Risk</v>
      </c>
      <c r="Y10" t="str">
        <f>IF(J10&gt;=3,"Yes","No")</f>
        <v>Yes</v>
      </c>
      <c r="Z10">
        <f>IF(TRIM(S10)="Below Market",1,
 IF(TRIM(S10)="At Market",2,
 IF(TRIM(S10)="Above Market",3,0)))</f>
        <v>2</v>
      </c>
      <c r="AA10" s="26" cm="1">
        <f t="array" ref="AA10">IF($Y10&lt;&gt;"Yes",0,INDEX(Merit_Matrix!$B$2:$D$4,MATCH($J10,Merit_Matrix!$A$2:$A$4,0),Z10))</f>
        <v>0.03</v>
      </c>
      <c r="AB10" s="41">
        <f>H10*AA10</f>
        <v>2218.29</v>
      </c>
      <c r="AC10" s="41">
        <f>H10+AB10</f>
        <v>76161.289999999994</v>
      </c>
      <c r="AD10" s="26">
        <f>AC10/O10</f>
        <v>0.97181689421972683</v>
      </c>
      <c r="AE1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1" spans="1:31" x14ac:dyDescent="0.3">
      <c r="A11">
        <v>1008</v>
      </c>
      <c r="B11" t="s">
        <v>23</v>
      </c>
      <c r="C11" t="s">
        <v>24</v>
      </c>
      <c r="D11">
        <v>4</v>
      </c>
      <c r="E11" t="s">
        <v>14</v>
      </c>
      <c r="F11" t="s">
        <v>24</v>
      </c>
      <c r="G11" t="s">
        <v>15</v>
      </c>
      <c r="H11" s="41">
        <v>92297</v>
      </c>
      <c r="I11" t="b">
        <v>1</v>
      </c>
      <c r="J11">
        <v>4</v>
      </c>
      <c r="K11" t="s">
        <v>16</v>
      </c>
      <c r="L11" s="1">
        <v>43185</v>
      </c>
      <c r="M11">
        <v>9</v>
      </c>
      <c r="N11" s="42">
        <f>VLOOKUP(B11,Market_Salary_Benchmarks!$A$1:$G$11,5,FALSE)</f>
        <v>82620</v>
      </c>
      <c r="O11" s="42">
        <f>VLOOKUP(B11,Market_Salary_Benchmarks!$A$1:$G$11,6,FALSE)</f>
        <v>110030</v>
      </c>
      <c r="P11" s="42">
        <f>VLOOKUP(B11,Market_Salary_Benchmarks!$A$1:$G$11,7,FALSE)</f>
        <v>146810</v>
      </c>
      <c r="Q11" s="26">
        <f>H11/O11</f>
        <v>0.83883486321912204</v>
      </c>
      <c r="R11" s="26">
        <f>(H11-N11)/(P11-N11)</f>
        <v>0.15075556940333384</v>
      </c>
      <c r="S11" s="23" t="str">
        <f>IF(H11 &lt; N11, "Below Market", IF(H11 &gt; P11, "Above Market", "At Market"))</f>
        <v>At Market</v>
      </c>
      <c r="T11" s="22" t="str">
        <f>B11 &amp; "-" &amp; D11</f>
        <v>HR Manager-4</v>
      </c>
      <c r="U11" s="41">
        <f>AVERAGEIFS(H:H, K:K, "Female", B:B, B11, D:D, D11)</f>
        <v>97910.769230769234</v>
      </c>
      <c r="V11" s="41">
        <f>AVERAGEIFS(H:H, K:K, "Male", B:B, B11, D:D, D11)</f>
        <v>96300.666666666672</v>
      </c>
      <c r="W11" s="27">
        <f>(V11-U11)/V11</f>
        <v>-1.6719537048229805E-2</v>
      </c>
      <c r="X11" s="23" t="str">
        <f>IF(ABS(W11) &gt;= 0.1, "High Risk",
 IF(ABS(W11) &gt;= 0.05, "Moderate Risk",
 "Low Risk"))</f>
        <v>Low Risk</v>
      </c>
      <c r="Y11" t="str">
        <f>IF(J11&gt;=3,"Yes","No")</f>
        <v>Yes</v>
      </c>
      <c r="Z11">
        <f>IF(TRIM(S11)="Below Market",1,
 IF(TRIM(S11)="At Market",2,
 IF(TRIM(S11)="Above Market",3,0)))</f>
        <v>2</v>
      </c>
      <c r="AA11" s="26" cm="1">
        <f t="array" ref="AA11">IF($Y11&lt;&gt;"Yes",0,INDEX(Merit_Matrix!$B$2:$D$4,MATCH($J11,Merit_Matrix!$A$2:$A$4,0),Z11))</f>
        <v>0.04</v>
      </c>
      <c r="AB11" s="41">
        <f>H11*AA11</f>
        <v>3691.88</v>
      </c>
      <c r="AC11" s="41">
        <f>H11+AB11</f>
        <v>95988.88</v>
      </c>
      <c r="AD11" s="26">
        <f>AC11/O11</f>
        <v>0.87238825774788697</v>
      </c>
      <c r="AE1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2" spans="1:31" x14ac:dyDescent="0.3">
      <c r="A12">
        <v>1009</v>
      </c>
      <c r="B12" t="s">
        <v>12</v>
      </c>
      <c r="C12" t="s">
        <v>13</v>
      </c>
      <c r="D12">
        <v>4</v>
      </c>
      <c r="E12" t="s">
        <v>14</v>
      </c>
      <c r="F12" t="s">
        <v>13</v>
      </c>
      <c r="G12" t="s">
        <v>15</v>
      </c>
      <c r="H12" s="41">
        <v>96529</v>
      </c>
      <c r="I12" t="b">
        <v>1</v>
      </c>
      <c r="J12">
        <v>3</v>
      </c>
      <c r="K12" t="s">
        <v>16</v>
      </c>
      <c r="L12" s="1">
        <v>44634</v>
      </c>
      <c r="M12">
        <v>13</v>
      </c>
      <c r="N12" s="42">
        <f>VLOOKUP(B12,Market_Salary_Benchmarks!$A$1:$G$11,5,FALSE)</f>
        <v>74720</v>
      </c>
      <c r="O12" s="42">
        <f>VLOOKUP(B12,Market_Salary_Benchmarks!$A$1:$G$11,6,FALSE)</f>
        <v>106330</v>
      </c>
      <c r="P12" s="42">
        <f>VLOOKUP(B12,Market_Salary_Benchmarks!$A$1:$G$11,7,FALSE)</f>
        <v>162780</v>
      </c>
      <c r="Q12" s="26">
        <f>H12/O12</f>
        <v>0.90782469669895605</v>
      </c>
      <c r="R12" s="26">
        <f>(H12-N12)/(P12-N12)</f>
        <v>0.24766068589598</v>
      </c>
      <c r="S12" s="23" t="str">
        <f>IF(H12 &lt; N12, "Below Market", IF(H12 &gt; P12, "Above Market", "At Market"))</f>
        <v>At Market</v>
      </c>
      <c r="T12" s="22" t="str">
        <f>B12 &amp; "-" &amp; D12</f>
        <v>Operations Manager-4</v>
      </c>
      <c r="U12" s="41">
        <f>AVERAGEIFS(H:H, K:K, "Female", B:B, B12, D:D, D12)</f>
        <v>96094.111111111109</v>
      </c>
      <c r="V12" s="41">
        <f>AVERAGEIFS(H:H, K:K, "Male", B:B, B12, D:D, D12)</f>
        <v>95248.28571428571</v>
      </c>
      <c r="W12" s="27">
        <f>(V12-U12)/V12</f>
        <v>-8.8802164835029597E-3</v>
      </c>
      <c r="X12" s="23" t="str">
        <f>IF(ABS(W12) &gt;= 0.1, "High Risk",
 IF(ABS(W12) &gt;= 0.05, "Moderate Risk",
 "Low Risk"))</f>
        <v>Low Risk</v>
      </c>
      <c r="Y12" t="str">
        <f>IF(J12&gt;=3,"Yes","No")</f>
        <v>Yes</v>
      </c>
      <c r="Z12">
        <f>IF(TRIM(S12)="Below Market",1,
 IF(TRIM(S12)="At Market",2,
 IF(TRIM(S12)="Above Market",3,0)))</f>
        <v>2</v>
      </c>
      <c r="AA12" s="26" cm="1">
        <f t="array" ref="AA12">IF($Y12&lt;&gt;"Yes",0,INDEX(Merit_Matrix!$B$2:$D$4,MATCH($J12,Merit_Matrix!$A$2:$A$4,0),Z12))</f>
        <v>0.03</v>
      </c>
      <c r="AB12" s="41">
        <f>H12*AA12</f>
        <v>2895.87</v>
      </c>
      <c r="AC12" s="41">
        <f>H12+AB12</f>
        <v>99424.87</v>
      </c>
      <c r="AD12" s="26">
        <f>AC12/O12</f>
        <v>0.93505943759992471</v>
      </c>
      <c r="AE1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" spans="1:31" x14ac:dyDescent="0.3">
      <c r="A13">
        <v>1010</v>
      </c>
      <c r="B13" t="s">
        <v>22</v>
      </c>
      <c r="C13" t="s">
        <v>18</v>
      </c>
      <c r="D13">
        <v>3</v>
      </c>
      <c r="E13" t="s">
        <v>14</v>
      </c>
      <c r="F13" t="s">
        <v>18</v>
      </c>
      <c r="G13" t="s">
        <v>15</v>
      </c>
      <c r="H13" s="41">
        <v>72062</v>
      </c>
      <c r="I13" t="b">
        <v>1</v>
      </c>
      <c r="J13">
        <v>1</v>
      </c>
      <c r="K13" t="s">
        <v>19</v>
      </c>
      <c r="L13" s="1">
        <v>43737</v>
      </c>
      <c r="M13">
        <v>2</v>
      </c>
      <c r="N13" s="42">
        <f>VLOOKUP(B13,Market_Salary_Benchmarks!$A$1:$G$11,5,FALSE)</f>
        <v>103040</v>
      </c>
      <c r="O13" s="42">
        <f>VLOOKUP(B13,Market_Salary_Benchmarks!$A$1:$G$11,6,FALSE)</f>
        <v>133500</v>
      </c>
      <c r="P13" s="42">
        <f>VLOOKUP(B13,Market_Salary_Benchmarks!$A$1:$G$11,7,FALSE)</f>
        <v>171680</v>
      </c>
      <c r="Q13" s="26">
        <f>H13/O13</f>
        <v>0.53979026217228465</v>
      </c>
      <c r="R13" s="26">
        <f>(H13-N13)/(P13-N13)</f>
        <v>-0.45131118881118881</v>
      </c>
      <c r="S13" s="23" t="str">
        <f>IF(H13 &lt; N13, "Below Market", IF(H13 &gt; P13, "Above Market", "At Market"))</f>
        <v>Below Market</v>
      </c>
      <c r="T13" s="22" t="str">
        <f>B13 &amp; "-" &amp; D13</f>
        <v>Senior IT Analyst-3</v>
      </c>
      <c r="U13" s="41">
        <f>AVERAGEIFS(H:H, K:K, "Female", B:B, B13, D:D, D13)</f>
        <v>78401.571428571435</v>
      </c>
      <c r="V13" s="41">
        <f>AVERAGEIFS(H:H, K:K, "Male", B:B, B13, D:D, D13)</f>
        <v>75875.125</v>
      </c>
      <c r="W13" s="27">
        <f>(V13-U13)/V13</f>
        <v>-3.3297426904686282E-2</v>
      </c>
      <c r="X13" s="23" t="str">
        <f>IF(ABS(W13) &gt;= 0.1, "High Risk",
 IF(ABS(W13) &gt;= 0.05, "Moderate Risk",
 "Low Risk"))</f>
        <v>Low Risk</v>
      </c>
      <c r="Y13" t="str">
        <f>IF(J13&gt;=3,"Yes","No")</f>
        <v>No</v>
      </c>
      <c r="Z13">
        <f>IF(TRIM(S13)="Below Market",1,
 IF(TRIM(S13)="At Market",2,
 IF(TRIM(S13)="Above Market",3,0)))</f>
        <v>1</v>
      </c>
      <c r="AA13" s="26" cm="1">
        <f t="array" ref="AA13">IF($Y13&lt;&gt;"Yes",0,INDEX(Merit_Matrix!$B$2:$D$4,MATCH($J13,Merit_Matrix!$A$2:$A$4,0),Z13))</f>
        <v>0</v>
      </c>
      <c r="AB13" s="41">
        <f>H13*AA13</f>
        <v>0</v>
      </c>
      <c r="AC13" s="41">
        <f>H13+AB13</f>
        <v>72062</v>
      </c>
      <c r="AD13" s="26">
        <f>AC13/O13</f>
        <v>0.53979026217228465</v>
      </c>
      <c r="AE1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4" spans="1:31" x14ac:dyDescent="0.3">
      <c r="A14">
        <v>1011</v>
      </c>
      <c r="B14" t="s">
        <v>17</v>
      </c>
      <c r="C14" t="s">
        <v>18</v>
      </c>
      <c r="D14">
        <v>2</v>
      </c>
      <c r="E14" t="s">
        <v>14</v>
      </c>
      <c r="F14" t="s">
        <v>18</v>
      </c>
      <c r="G14" t="s">
        <v>15</v>
      </c>
      <c r="H14" s="41">
        <v>59687</v>
      </c>
      <c r="I14" t="b">
        <v>0</v>
      </c>
      <c r="J14">
        <v>4</v>
      </c>
      <c r="K14" t="s">
        <v>19</v>
      </c>
      <c r="L14" s="1">
        <v>44706</v>
      </c>
      <c r="M14">
        <v>12</v>
      </c>
      <c r="N14" s="42">
        <f>VLOOKUP(B14,Market_Salary_Benchmarks!$A$1:$G$11,5,FALSE)</f>
        <v>81130</v>
      </c>
      <c r="O14" s="42">
        <f>VLOOKUP(B14,Market_Salary_Benchmarks!$A$1:$G$11,6,FALSE)</f>
        <v>103730</v>
      </c>
      <c r="P14" s="42">
        <f>VLOOKUP(B14,Market_Salary_Benchmarks!$A$1:$G$11,7,FALSE)</f>
        <v>132670</v>
      </c>
      <c r="Q14" s="26">
        <f>H14/O14</f>
        <v>0.57540730743275814</v>
      </c>
      <c r="R14" s="26">
        <f>(H14-N14)/(P14-N14)</f>
        <v>-0.41604578967792005</v>
      </c>
      <c r="S14" s="23" t="str">
        <f>IF(H14 &lt; N14, "Below Market", IF(H14 &gt; P14, "Above Market", "At Market"))</f>
        <v>Below Market</v>
      </c>
      <c r="T14" s="22" t="str">
        <f>B14 &amp; "-" &amp; D14</f>
        <v>IT Analyst-2</v>
      </c>
      <c r="U14" s="41">
        <f>AVERAGEIFS(H:H, K:K, "Female", B:B, B14, D:D, D14)</f>
        <v>55600.230769230766</v>
      </c>
      <c r="V14" s="41">
        <f>AVERAGEIFS(H:H, K:K, "Male", B:B, B14, D:D, D14)</f>
        <v>58468.727272727272</v>
      </c>
      <c r="W14" s="27">
        <f>(V14-U14)/V14</f>
        <v>4.9060354779340579E-2</v>
      </c>
      <c r="X14" s="23" t="str">
        <f>IF(ABS(W14) &gt;= 0.1, "High Risk",
 IF(ABS(W14) &gt;= 0.05, "Moderate Risk",
 "Low Risk"))</f>
        <v>Low Risk</v>
      </c>
      <c r="Y14" t="str">
        <f>IF(J14&gt;=3,"Yes","No")</f>
        <v>Yes</v>
      </c>
      <c r="Z14">
        <f>IF(TRIM(S14)="Below Market",1,
 IF(TRIM(S14)="At Market",2,
 IF(TRIM(S14)="Above Market",3,0)))</f>
        <v>1</v>
      </c>
      <c r="AA14" s="26" cm="1">
        <f t="array" ref="AA14">IF($Y14&lt;&gt;"Yes",0,INDEX(Merit_Matrix!$B$2:$D$4,MATCH($J14,Merit_Matrix!$A$2:$A$4,0),Z14))</f>
        <v>0.05</v>
      </c>
      <c r="AB14" s="41">
        <f>H14*AA14</f>
        <v>2984.3500000000004</v>
      </c>
      <c r="AC14" s="41">
        <f>H14+AB14</f>
        <v>62671.35</v>
      </c>
      <c r="AD14" s="26">
        <f>AC14/O14</f>
        <v>0.60417767280439605</v>
      </c>
      <c r="AE14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5" spans="1:31" x14ac:dyDescent="0.3">
      <c r="A15">
        <v>1012</v>
      </c>
      <c r="B15" t="s">
        <v>27</v>
      </c>
      <c r="C15" t="s">
        <v>26</v>
      </c>
      <c r="D15">
        <v>4</v>
      </c>
      <c r="E15" t="s">
        <v>14</v>
      </c>
      <c r="F15" t="s">
        <v>26</v>
      </c>
      <c r="G15" t="s">
        <v>15</v>
      </c>
      <c r="H15" s="41">
        <v>94184</v>
      </c>
      <c r="I15" t="b">
        <v>1</v>
      </c>
      <c r="J15">
        <v>5</v>
      </c>
      <c r="K15" t="s">
        <v>19</v>
      </c>
      <c r="L15" s="1">
        <v>44233</v>
      </c>
      <c r="M15">
        <v>13</v>
      </c>
      <c r="N15" s="42">
        <f>VLOOKUP(B15,Market_Salary_Benchmarks!$A$1:$G$11,5,FALSE)</f>
        <v>105000</v>
      </c>
      <c r="O15" s="42">
        <f>VLOOKUP(B15,Market_Salary_Benchmarks!$A$1:$G$11,6,FALSE)</f>
        <v>138040</v>
      </c>
      <c r="P15" s="42">
        <f>VLOOKUP(B15,Market_Salary_Benchmarks!$A$1:$G$11,7,FALSE)</f>
        <v>179950</v>
      </c>
      <c r="Q15" s="26">
        <f>H15/O15</f>
        <v>0.68229498696030133</v>
      </c>
      <c r="R15" s="26">
        <f>(H15-N15)/(P15-N15)</f>
        <v>-0.14430953969312876</v>
      </c>
      <c r="S15" s="23" t="str">
        <f>IF(H15 &lt; N15, "Below Market", IF(H15 &gt; P15, "Above Market", "At Market"))</f>
        <v>Below Market</v>
      </c>
      <c r="T15" s="22" t="str">
        <f>B15 &amp; "-" &amp; D15</f>
        <v>Senior Financial Analyst-4</v>
      </c>
      <c r="U15" s="41">
        <f>AVERAGEIFS(H:H, K:K, "Female", B:B, B15, D:D, D15)</f>
        <v>94329.75</v>
      </c>
      <c r="V15" s="41">
        <f>AVERAGEIFS(H:H, K:K, "Male", B:B, B15, D:D, D15)</f>
        <v>94897.166666666672</v>
      </c>
      <c r="W15" s="27">
        <f>(V15-U15)/V15</f>
        <v>5.9792793251643075E-3</v>
      </c>
      <c r="X15" s="23" t="str">
        <f>IF(ABS(W15) &gt;= 0.1, "High Risk",
 IF(ABS(W15) &gt;= 0.05, "Moderate Risk",
 "Low Risk"))</f>
        <v>Low Risk</v>
      </c>
      <c r="Y15" t="str">
        <f>IF(J15&gt;=3,"Yes","No")</f>
        <v>Yes</v>
      </c>
      <c r="Z15">
        <f>IF(TRIM(S15)="Below Market",1,
 IF(TRIM(S15)="At Market",2,
 IF(TRIM(S15)="Above Market",3,0)))</f>
        <v>1</v>
      </c>
      <c r="AA15" s="26" cm="1">
        <f t="array" ref="AA15">IF($Y15&lt;&gt;"Yes",0,INDEX(Merit_Matrix!$B$2:$D$4,MATCH($J15,Merit_Matrix!$A$2:$A$4,0),Z15))</f>
        <v>0.06</v>
      </c>
      <c r="AB15" s="41">
        <f>H15*AA15</f>
        <v>5651.04</v>
      </c>
      <c r="AC15" s="41">
        <f>H15+AB15</f>
        <v>99835.04</v>
      </c>
      <c r="AD15" s="26">
        <f>AC15/O15</f>
        <v>0.72323268617791936</v>
      </c>
      <c r="AE1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6" spans="1:31" x14ac:dyDescent="0.3">
      <c r="A16">
        <v>1013</v>
      </c>
      <c r="B16" t="s">
        <v>28</v>
      </c>
      <c r="C16" t="s">
        <v>24</v>
      </c>
      <c r="D16">
        <v>3</v>
      </c>
      <c r="E16" t="s">
        <v>14</v>
      </c>
      <c r="F16" t="s">
        <v>24</v>
      </c>
      <c r="G16" t="s">
        <v>15</v>
      </c>
      <c r="H16" s="41">
        <v>77215</v>
      </c>
      <c r="I16" t="b">
        <v>1</v>
      </c>
      <c r="J16">
        <v>4</v>
      </c>
      <c r="K16" t="s">
        <v>19</v>
      </c>
      <c r="L16" s="1">
        <v>44516</v>
      </c>
      <c r="M16">
        <v>13</v>
      </c>
      <c r="N16" s="42">
        <f>VLOOKUP(B16,Market_Salary_Benchmarks!$A$1:$G$11,5,FALSE)</f>
        <v>50970</v>
      </c>
      <c r="O16" s="42">
        <f>VLOOKUP(B16,Market_Salary_Benchmarks!$A$1:$G$11,6,FALSE)</f>
        <v>56720</v>
      </c>
      <c r="P16" s="42">
        <f>VLOOKUP(B16,Market_Salary_Benchmarks!$A$1:$G$11,7,FALSE)</f>
        <v>75360</v>
      </c>
      <c r="Q16" s="26">
        <f>H16/O16</f>
        <v>1.3613363892806769</v>
      </c>
      <c r="R16" s="26">
        <f>(H16-N16)/(P16-N16)</f>
        <v>1.0760557605576055</v>
      </c>
      <c r="S16" s="23" t="str">
        <f>IF(H16 &lt; N16, "Below Market", IF(H16 &gt; P16, "Above Market", "At Market"))</f>
        <v>Above Market</v>
      </c>
      <c r="T16" s="22" t="str">
        <f>B16 &amp; "-" &amp; D16</f>
        <v>Compensation Analyst-3</v>
      </c>
      <c r="U16" s="41">
        <f>AVERAGEIFS(H:H, K:K, "Female", B:B, B16, D:D, D16)</f>
        <v>76621.166666666672</v>
      </c>
      <c r="V16" s="41">
        <f>AVERAGEIFS(H:H, K:K, "Male", B:B, B16, D:D, D16)</f>
        <v>77763.875</v>
      </c>
      <c r="W16" s="27">
        <f>(V16-U16)/V16</f>
        <v>1.4694590943845436E-2</v>
      </c>
      <c r="X16" s="23" t="str">
        <f>IF(ABS(W16) &gt;= 0.1, "High Risk",
 IF(ABS(W16) &gt;= 0.05, "Moderate Risk",
 "Low Risk"))</f>
        <v>Low Risk</v>
      </c>
      <c r="Y16" t="str">
        <f>IF(J16&gt;=3,"Yes","No")</f>
        <v>Yes</v>
      </c>
      <c r="Z16">
        <f>IF(TRIM(S16)="Below Market",1,
 IF(TRIM(S16)="At Market",2,
 IF(TRIM(S16)="Above Market",3,0)))</f>
        <v>3</v>
      </c>
      <c r="AA16" s="26" cm="1">
        <f t="array" ref="AA16">IF($Y16&lt;&gt;"Yes",0,INDEX(Merit_Matrix!$B$2:$D$4,MATCH($J16,Merit_Matrix!$A$2:$A$4,0),Z16))</f>
        <v>0.03</v>
      </c>
      <c r="AB16" s="41">
        <f>H16*AA16</f>
        <v>2316.4499999999998</v>
      </c>
      <c r="AC16" s="41">
        <f>H16+AB16</f>
        <v>79531.45</v>
      </c>
      <c r="AD16" s="26">
        <f>AC16/O16</f>
        <v>1.4021764809590973</v>
      </c>
      <c r="AE16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7" spans="1:31" x14ac:dyDescent="0.3">
      <c r="A17">
        <v>1014</v>
      </c>
      <c r="B17" t="s">
        <v>17</v>
      </c>
      <c r="C17" t="s">
        <v>18</v>
      </c>
      <c r="D17">
        <v>2</v>
      </c>
      <c r="E17" t="s">
        <v>14</v>
      </c>
      <c r="F17" t="s">
        <v>18</v>
      </c>
      <c r="G17" t="s">
        <v>15</v>
      </c>
      <c r="H17" s="41">
        <v>60965</v>
      </c>
      <c r="I17" t="b">
        <v>0</v>
      </c>
      <c r="J17">
        <v>3</v>
      </c>
      <c r="K17" t="s">
        <v>19</v>
      </c>
      <c r="L17" s="1">
        <v>43855</v>
      </c>
      <c r="M17">
        <v>4</v>
      </c>
      <c r="N17" s="42">
        <f>VLOOKUP(B17,Market_Salary_Benchmarks!$A$1:$G$11,5,FALSE)</f>
        <v>81130</v>
      </c>
      <c r="O17" s="42">
        <f>VLOOKUP(B17,Market_Salary_Benchmarks!$A$1:$G$11,6,FALSE)</f>
        <v>103730</v>
      </c>
      <c r="P17" s="42">
        <f>VLOOKUP(B17,Market_Salary_Benchmarks!$A$1:$G$11,7,FALSE)</f>
        <v>132670</v>
      </c>
      <c r="Q17" s="26">
        <f>H17/O17</f>
        <v>0.58772775474790317</v>
      </c>
      <c r="R17" s="26">
        <f>(H17-N17)/(P17-N17)</f>
        <v>-0.39124951493985255</v>
      </c>
      <c r="S17" s="23" t="str">
        <f>IF(H17 &lt; N17, "Below Market", IF(H17 &gt; P17, "Above Market", "At Market"))</f>
        <v>Below Market</v>
      </c>
      <c r="T17" s="22" t="str">
        <f>B17 &amp; "-" &amp; D17</f>
        <v>IT Analyst-2</v>
      </c>
      <c r="U17" s="41">
        <f>AVERAGEIFS(H:H, K:K, "Female", B:B, B17, D:D, D17)</f>
        <v>55600.230769230766</v>
      </c>
      <c r="V17" s="41">
        <f>AVERAGEIFS(H:H, K:K, "Male", B:B, B17, D:D, D17)</f>
        <v>58468.727272727272</v>
      </c>
      <c r="W17" s="27">
        <f>(V17-U17)/V17</f>
        <v>4.9060354779340579E-2</v>
      </c>
      <c r="X17" s="23" t="str">
        <f>IF(ABS(W17) &gt;= 0.1, "High Risk",
 IF(ABS(W17) &gt;= 0.05, "Moderate Risk",
 "Low Risk"))</f>
        <v>Low Risk</v>
      </c>
      <c r="Y17" t="str">
        <f>IF(J17&gt;=3,"Yes","No")</f>
        <v>Yes</v>
      </c>
      <c r="Z17">
        <f>IF(TRIM(S17)="Below Market",1,
 IF(TRIM(S17)="At Market",2,
 IF(TRIM(S17)="Above Market",3,0)))</f>
        <v>1</v>
      </c>
      <c r="AA17" s="26" cm="1">
        <f t="array" ref="AA17">IF($Y17&lt;&gt;"Yes",0,INDEX(Merit_Matrix!$B$2:$D$4,MATCH($J17,Merit_Matrix!$A$2:$A$4,0),Z17))</f>
        <v>3.5000000000000003E-2</v>
      </c>
      <c r="AB17" s="41">
        <f>H17*AA17</f>
        <v>2133.7750000000001</v>
      </c>
      <c r="AC17" s="41">
        <f>H17+AB17</f>
        <v>63098.775000000001</v>
      </c>
      <c r="AD17" s="26">
        <f>AC17/O17</f>
        <v>0.6082982261640798</v>
      </c>
      <c r="AE17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8" spans="1:31" x14ac:dyDescent="0.3">
      <c r="A18">
        <v>1015</v>
      </c>
      <c r="B18" t="s">
        <v>29</v>
      </c>
      <c r="C18" t="s">
        <v>24</v>
      </c>
      <c r="D18">
        <v>2</v>
      </c>
      <c r="E18" t="s">
        <v>14</v>
      </c>
      <c r="F18" t="s">
        <v>24</v>
      </c>
      <c r="G18" t="s">
        <v>15</v>
      </c>
      <c r="H18" s="41">
        <v>51028</v>
      </c>
      <c r="I18" t="b">
        <v>0</v>
      </c>
      <c r="J18">
        <v>4</v>
      </c>
      <c r="K18" t="s">
        <v>19</v>
      </c>
      <c r="L18" s="1">
        <v>45212</v>
      </c>
      <c r="M18">
        <v>10</v>
      </c>
      <c r="N18" s="42">
        <f>VLOOKUP(B18,Market_Salary_Benchmarks!$A$1:$G$11,5,FALSE)</f>
        <v>48890</v>
      </c>
      <c r="O18" s="42">
        <f>VLOOKUP(B18,Market_Salary_Benchmarks!$A$1:$G$11,6,FALSE)</f>
        <v>62770</v>
      </c>
      <c r="P18" s="42">
        <f>VLOOKUP(B18,Market_Salary_Benchmarks!$A$1:$G$11,7,FALSE)</f>
        <v>82990</v>
      </c>
      <c r="Q18" s="26">
        <f>H18/O18</f>
        <v>0.81293611597897086</v>
      </c>
      <c r="R18" s="26">
        <f>(H18-N18)/(P18-N18)</f>
        <v>6.2697947214076247E-2</v>
      </c>
      <c r="S18" s="23" t="str">
        <f>IF(H18 &lt; N18, "Below Market", IF(H18 &gt; P18, "Above Market", "At Market"))</f>
        <v>At Market</v>
      </c>
      <c r="T18" s="22" t="str">
        <f>B18 &amp; "-" &amp; D18</f>
        <v>HR Analyst-2</v>
      </c>
      <c r="U18" s="41">
        <f>AVERAGEIFS(H:H, K:K, "Female", B:B, B18, D:D, D18)</f>
        <v>56635.5</v>
      </c>
      <c r="V18" s="41">
        <f>AVERAGEIFS(H:H, K:K, "Male", B:B, B18, D:D, D18)</f>
        <v>59544.4</v>
      </c>
      <c r="W18" s="27">
        <f>(V18-U18)/V18</f>
        <v>4.8852620901377819E-2</v>
      </c>
      <c r="X18" s="23" t="str">
        <f>IF(ABS(W18) &gt;= 0.1, "High Risk",
 IF(ABS(W18) &gt;= 0.05, "Moderate Risk",
 "Low Risk"))</f>
        <v>Low Risk</v>
      </c>
      <c r="Y18" t="str">
        <f>IF(J18&gt;=3,"Yes","No")</f>
        <v>Yes</v>
      </c>
      <c r="Z18">
        <f>IF(TRIM(S18)="Below Market",1,
 IF(TRIM(S18)="At Market",2,
 IF(TRIM(S18)="Above Market",3,0)))</f>
        <v>2</v>
      </c>
      <c r="AA18" s="26" cm="1">
        <f t="array" ref="AA18">IF($Y18&lt;&gt;"Yes",0,INDEX(Merit_Matrix!$B$2:$D$4,MATCH($J18,Merit_Matrix!$A$2:$A$4,0),Z18))</f>
        <v>0.04</v>
      </c>
      <c r="AB18" s="41">
        <f>H18*AA18</f>
        <v>2041.1200000000001</v>
      </c>
      <c r="AC18" s="41">
        <f>H18+AB18</f>
        <v>53069.120000000003</v>
      </c>
      <c r="AD18" s="26">
        <f>AC18/O18</f>
        <v>0.84545356061812971</v>
      </c>
      <c r="AE1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9" spans="1:31" x14ac:dyDescent="0.3">
      <c r="A19">
        <v>1016</v>
      </c>
      <c r="B19" t="s">
        <v>23</v>
      </c>
      <c r="C19" t="s">
        <v>24</v>
      </c>
      <c r="D19">
        <v>4</v>
      </c>
      <c r="E19" t="s">
        <v>14</v>
      </c>
      <c r="F19" t="s">
        <v>24</v>
      </c>
      <c r="G19" t="s">
        <v>15</v>
      </c>
      <c r="H19" s="41">
        <v>103934</v>
      </c>
      <c r="I19" t="b">
        <v>1</v>
      </c>
      <c r="J19">
        <v>4</v>
      </c>
      <c r="K19" t="s">
        <v>19</v>
      </c>
      <c r="L19" s="1">
        <v>42933</v>
      </c>
      <c r="M19">
        <v>14</v>
      </c>
      <c r="N19" s="42">
        <f>VLOOKUP(B19,Market_Salary_Benchmarks!$A$1:$G$11,5,FALSE)</f>
        <v>82620</v>
      </c>
      <c r="O19" s="42">
        <f>VLOOKUP(B19,Market_Salary_Benchmarks!$A$1:$G$11,6,FALSE)</f>
        <v>110030</v>
      </c>
      <c r="P19" s="42">
        <f>VLOOKUP(B19,Market_Salary_Benchmarks!$A$1:$G$11,7,FALSE)</f>
        <v>146810</v>
      </c>
      <c r="Q19" s="26">
        <f>H19/O19</f>
        <v>0.94459692811051532</v>
      </c>
      <c r="R19" s="26">
        <f>(H19-N19)/(P19-N19)</f>
        <v>0.33204548995170585</v>
      </c>
      <c r="S19" s="23" t="str">
        <f>IF(H19 &lt; N19, "Below Market", IF(H19 &gt; P19, "Above Market", "At Market"))</f>
        <v>At Market</v>
      </c>
      <c r="T19" s="22" t="str">
        <f>B19 &amp; "-" &amp; D19</f>
        <v>HR Manager-4</v>
      </c>
      <c r="U19" s="41">
        <f>AVERAGEIFS(H:H, K:K, "Female", B:B, B19, D:D, D19)</f>
        <v>97910.769230769234</v>
      </c>
      <c r="V19" s="41">
        <f>AVERAGEIFS(H:H, K:K, "Male", B:B, B19, D:D, D19)</f>
        <v>96300.666666666672</v>
      </c>
      <c r="W19" s="27">
        <f>(V19-U19)/V19</f>
        <v>-1.6719537048229805E-2</v>
      </c>
      <c r="X19" s="23" t="str">
        <f>IF(ABS(W19) &gt;= 0.1, "High Risk",
 IF(ABS(W19) &gt;= 0.05, "Moderate Risk",
 "Low Risk"))</f>
        <v>Low Risk</v>
      </c>
      <c r="Y19" t="str">
        <f>IF(J19&gt;=3,"Yes","No")</f>
        <v>Yes</v>
      </c>
      <c r="Z19">
        <f>IF(TRIM(S19)="Below Market",1,
 IF(TRIM(S19)="At Market",2,
 IF(TRIM(S19)="Above Market",3,0)))</f>
        <v>2</v>
      </c>
      <c r="AA19" s="26" cm="1">
        <f t="array" ref="AA19">IF($Y19&lt;&gt;"Yes",0,INDEX(Merit_Matrix!$B$2:$D$4,MATCH($J19,Merit_Matrix!$A$2:$A$4,0),Z19))</f>
        <v>0.04</v>
      </c>
      <c r="AB19" s="41">
        <f>H19*AA19</f>
        <v>4157.3599999999997</v>
      </c>
      <c r="AC19" s="41">
        <f>H19+AB19</f>
        <v>108091.36</v>
      </c>
      <c r="AD19" s="26">
        <f>AC19/O19</f>
        <v>0.98238080523493598</v>
      </c>
      <c r="AE1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0" spans="1:31" x14ac:dyDescent="0.3">
      <c r="A20">
        <v>1017</v>
      </c>
      <c r="B20" t="s">
        <v>25</v>
      </c>
      <c r="C20" t="s">
        <v>26</v>
      </c>
      <c r="D20">
        <v>3</v>
      </c>
      <c r="E20" t="s">
        <v>14</v>
      </c>
      <c r="F20" t="s">
        <v>26</v>
      </c>
      <c r="G20" t="s">
        <v>15</v>
      </c>
      <c r="H20" s="41">
        <v>84820</v>
      </c>
      <c r="I20" t="b">
        <v>1</v>
      </c>
      <c r="J20">
        <v>3</v>
      </c>
      <c r="K20" t="s">
        <v>19</v>
      </c>
      <c r="L20" s="1">
        <v>42910</v>
      </c>
      <c r="M20">
        <v>5</v>
      </c>
      <c r="N20" s="42">
        <f>VLOOKUP(B20,Market_Salary_Benchmarks!$A$1:$G$11,5,FALSE)</f>
        <v>49460</v>
      </c>
      <c r="O20" s="42">
        <f>VLOOKUP(B20,Market_Salary_Benchmarks!$A$1:$G$11,6,FALSE)</f>
        <v>78370</v>
      </c>
      <c r="P20" s="42">
        <f>VLOOKUP(B20,Market_Salary_Benchmarks!$A$1:$G$11,7,FALSE)</f>
        <v>104330</v>
      </c>
      <c r="Q20" s="26">
        <f>H20/O20</f>
        <v>1.0823019012377184</v>
      </c>
      <c r="R20" s="26">
        <f>(H20-N20)/(P20-N20)</f>
        <v>0.6444322945143065</v>
      </c>
      <c r="S20" s="23" t="str">
        <f>IF(H20 &lt; N20, "Below Market", IF(H20 &gt; P20, "Above Market", "At Market"))</f>
        <v>At Market</v>
      </c>
      <c r="T20" s="22" t="str">
        <f>B20 &amp; "-" &amp; D20</f>
        <v>Financial Analyst-3</v>
      </c>
      <c r="U20" s="41">
        <f>AVERAGEIFS(H:H, K:K, "Female", B:B, B20, D:D, D20)</f>
        <v>76962.636363636368</v>
      </c>
      <c r="V20" s="41">
        <f>AVERAGEIFS(H:H, K:K, "Male", B:B, B20, D:D, D20)</f>
        <v>77416</v>
      </c>
      <c r="W20" s="27">
        <f>(V20-U20)/V20</f>
        <v>5.8562007383955823E-3</v>
      </c>
      <c r="X20" s="23" t="str">
        <f>IF(ABS(W20) &gt;= 0.1, "High Risk",
 IF(ABS(W20) &gt;= 0.05, "Moderate Risk",
 "Low Risk"))</f>
        <v>Low Risk</v>
      </c>
      <c r="Y20" t="str">
        <f>IF(J20&gt;=3,"Yes","No")</f>
        <v>Yes</v>
      </c>
      <c r="Z20">
        <f>IF(TRIM(S20)="Below Market",1,
 IF(TRIM(S20)="At Market",2,
 IF(TRIM(S20)="Above Market",3,0)))</f>
        <v>2</v>
      </c>
      <c r="AA20" s="26" cm="1">
        <f t="array" ref="AA20">IF($Y20&lt;&gt;"Yes",0,INDEX(Merit_Matrix!$B$2:$D$4,MATCH($J20,Merit_Matrix!$A$2:$A$4,0),Z20))</f>
        <v>0.03</v>
      </c>
      <c r="AB20" s="41">
        <f>H20*AA20</f>
        <v>2544.6</v>
      </c>
      <c r="AC20" s="41">
        <f>H20+AB20</f>
        <v>87364.6</v>
      </c>
      <c r="AD20" s="26">
        <f>AC20/O20</f>
        <v>1.1147709582748502</v>
      </c>
      <c r="AE2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1" spans="1:31" x14ac:dyDescent="0.3">
      <c r="A21">
        <v>1018</v>
      </c>
      <c r="B21" t="s">
        <v>12</v>
      </c>
      <c r="C21" t="s">
        <v>13</v>
      </c>
      <c r="D21">
        <v>4</v>
      </c>
      <c r="E21" t="s">
        <v>14</v>
      </c>
      <c r="F21" t="s">
        <v>13</v>
      </c>
      <c r="G21" t="s">
        <v>15</v>
      </c>
      <c r="H21" s="41">
        <v>98817</v>
      </c>
      <c r="I21" t="b">
        <v>1</v>
      </c>
      <c r="J21">
        <v>3</v>
      </c>
      <c r="K21" t="s">
        <v>16</v>
      </c>
      <c r="L21" s="1">
        <v>45063</v>
      </c>
      <c r="M21">
        <v>13</v>
      </c>
      <c r="N21" s="42">
        <f>VLOOKUP(B21,Market_Salary_Benchmarks!$A$1:$G$11,5,FALSE)</f>
        <v>74720</v>
      </c>
      <c r="O21" s="42">
        <f>VLOOKUP(B21,Market_Salary_Benchmarks!$A$1:$G$11,6,FALSE)</f>
        <v>106330</v>
      </c>
      <c r="P21" s="42">
        <f>VLOOKUP(B21,Market_Salary_Benchmarks!$A$1:$G$11,7,FALSE)</f>
        <v>162780</v>
      </c>
      <c r="Q21" s="26">
        <f>H21/O21</f>
        <v>0.92934261262108531</v>
      </c>
      <c r="R21" s="26">
        <f>(H21-N21)/(P21-N21)</f>
        <v>0.27364297070179422</v>
      </c>
      <c r="S21" s="23" t="str">
        <f>IF(H21 &lt; N21, "Below Market", IF(H21 &gt; P21, "Above Market", "At Market"))</f>
        <v>At Market</v>
      </c>
      <c r="T21" s="22" t="str">
        <f>B21 &amp; "-" &amp; D21</f>
        <v>Operations Manager-4</v>
      </c>
      <c r="U21" s="41">
        <f>AVERAGEIFS(H:H, K:K, "Female", B:B, B21, D:D, D21)</f>
        <v>96094.111111111109</v>
      </c>
      <c r="V21" s="41">
        <f>AVERAGEIFS(H:H, K:K, "Male", B:B, B21, D:D, D21)</f>
        <v>95248.28571428571</v>
      </c>
      <c r="W21" s="27">
        <f>(V21-U21)/V21</f>
        <v>-8.8802164835029597E-3</v>
      </c>
      <c r="X21" s="23" t="str">
        <f>IF(ABS(W21) &gt;= 0.1, "High Risk",
 IF(ABS(W21) &gt;= 0.05, "Moderate Risk",
 "Low Risk"))</f>
        <v>Low Risk</v>
      </c>
      <c r="Y21" t="str">
        <f>IF(J21&gt;=3,"Yes","No")</f>
        <v>Yes</v>
      </c>
      <c r="Z21">
        <f>IF(TRIM(S21)="Below Market",1,
 IF(TRIM(S21)="At Market",2,
 IF(TRIM(S21)="Above Market",3,0)))</f>
        <v>2</v>
      </c>
      <c r="AA21" s="26" cm="1">
        <f t="array" ref="AA21">IF($Y21&lt;&gt;"Yes",0,INDEX(Merit_Matrix!$B$2:$D$4,MATCH($J21,Merit_Matrix!$A$2:$A$4,0),Z21))</f>
        <v>0.03</v>
      </c>
      <c r="AB21" s="41">
        <f>H21*AA21</f>
        <v>2964.5099999999998</v>
      </c>
      <c r="AC21" s="41">
        <f>H21+AB21</f>
        <v>101781.51</v>
      </c>
      <c r="AD21" s="26">
        <f>AC21/O21</f>
        <v>0.9572228909997178</v>
      </c>
      <c r="AE2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2" spans="1:31" x14ac:dyDescent="0.3">
      <c r="A22">
        <v>1019</v>
      </c>
      <c r="B22" t="s">
        <v>25</v>
      </c>
      <c r="C22" t="s">
        <v>26</v>
      </c>
      <c r="D22">
        <v>3</v>
      </c>
      <c r="E22" t="s">
        <v>14</v>
      </c>
      <c r="F22" t="s">
        <v>26</v>
      </c>
      <c r="G22" t="s">
        <v>15</v>
      </c>
      <c r="H22" s="41">
        <v>75450</v>
      </c>
      <c r="I22" t="b">
        <v>1</v>
      </c>
      <c r="J22">
        <v>4</v>
      </c>
      <c r="K22" t="s">
        <v>19</v>
      </c>
      <c r="L22" s="1">
        <v>44607</v>
      </c>
      <c r="M22">
        <v>2</v>
      </c>
      <c r="N22" s="42">
        <f>VLOOKUP(B22,Market_Salary_Benchmarks!$A$1:$G$11,5,FALSE)</f>
        <v>49460</v>
      </c>
      <c r="O22" s="42">
        <f>VLOOKUP(B22,Market_Salary_Benchmarks!$A$1:$G$11,6,FALSE)</f>
        <v>78370</v>
      </c>
      <c r="P22" s="42">
        <f>VLOOKUP(B22,Market_Salary_Benchmarks!$A$1:$G$11,7,FALSE)</f>
        <v>104330</v>
      </c>
      <c r="Q22" s="26">
        <f>H22/O22</f>
        <v>0.96274084471098631</v>
      </c>
      <c r="R22" s="26">
        <f>(H22-N22)/(P22-N22)</f>
        <v>0.47366502642609803</v>
      </c>
      <c r="S22" s="23" t="str">
        <f>IF(H22 &lt; N22, "Below Market", IF(H22 &gt; P22, "Above Market", "At Market"))</f>
        <v>At Market</v>
      </c>
      <c r="T22" s="22" t="str">
        <f>B22 &amp; "-" &amp; D22</f>
        <v>Financial Analyst-3</v>
      </c>
      <c r="U22" s="41">
        <f>AVERAGEIFS(H:H, K:K, "Female", B:B, B22, D:D, D22)</f>
        <v>76962.636363636368</v>
      </c>
      <c r="V22" s="41">
        <f>AVERAGEIFS(H:H, K:K, "Male", B:B, B22, D:D, D22)</f>
        <v>77416</v>
      </c>
      <c r="W22" s="27">
        <f>(V22-U22)/V22</f>
        <v>5.8562007383955823E-3</v>
      </c>
      <c r="X22" s="23" t="str">
        <f>IF(ABS(W22) &gt;= 0.1, "High Risk",
 IF(ABS(W22) &gt;= 0.05, "Moderate Risk",
 "Low Risk"))</f>
        <v>Low Risk</v>
      </c>
      <c r="Y22" t="str">
        <f>IF(J22&gt;=3,"Yes","No")</f>
        <v>Yes</v>
      </c>
      <c r="Z22">
        <f>IF(TRIM(S22)="Below Market",1,
 IF(TRIM(S22)="At Market",2,
 IF(TRIM(S22)="Above Market",3,0)))</f>
        <v>2</v>
      </c>
      <c r="AA22" s="26" cm="1">
        <f t="array" ref="AA22">IF($Y22&lt;&gt;"Yes",0,INDEX(Merit_Matrix!$B$2:$D$4,MATCH($J22,Merit_Matrix!$A$2:$A$4,0),Z22))</f>
        <v>0.04</v>
      </c>
      <c r="AB22" s="41">
        <f>H22*AA22</f>
        <v>3018</v>
      </c>
      <c r="AC22" s="41">
        <f>H22+AB22</f>
        <v>78468</v>
      </c>
      <c r="AD22" s="26">
        <f>AC22/O22</f>
        <v>1.0012504784994258</v>
      </c>
      <c r="AE2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3" spans="1:31" x14ac:dyDescent="0.3">
      <c r="A23">
        <v>1020</v>
      </c>
      <c r="B23" t="s">
        <v>29</v>
      </c>
      <c r="C23" t="s">
        <v>24</v>
      </c>
      <c r="D23">
        <v>2</v>
      </c>
      <c r="E23" t="s">
        <v>14</v>
      </c>
      <c r="F23" t="s">
        <v>24</v>
      </c>
      <c r="G23" t="s">
        <v>15</v>
      </c>
      <c r="H23" s="41">
        <v>63688</v>
      </c>
      <c r="I23" t="b">
        <v>0</v>
      </c>
      <c r="J23">
        <v>4</v>
      </c>
      <c r="K23" t="s">
        <v>19</v>
      </c>
      <c r="L23" s="1">
        <v>43652</v>
      </c>
      <c r="M23">
        <v>8</v>
      </c>
      <c r="N23" s="42">
        <f>VLOOKUP(B23,Market_Salary_Benchmarks!$A$1:$G$11,5,FALSE)</f>
        <v>48890</v>
      </c>
      <c r="O23" s="42">
        <f>VLOOKUP(B23,Market_Salary_Benchmarks!$A$1:$G$11,6,FALSE)</f>
        <v>62770</v>
      </c>
      <c r="P23" s="42">
        <f>VLOOKUP(B23,Market_Salary_Benchmarks!$A$1:$G$11,7,FALSE)</f>
        <v>82990</v>
      </c>
      <c r="Q23" s="26">
        <f>H23/O23</f>
        <v>1.0146248207742552</v>
      </c>
      <c r="R23" s="26">
        <f>(H23-N23)/(P23-N23)</f>
        <v>0.43395894428152493</v>
      </c>
      <c r="S23" s="23" t="str">
        <f>IF(H23 &lt; N23, "Below Market", IF(H23 &gt; P23, "Above Market", "At Market"))</f>
        <v>At Market</v>
      </c>
      <c r="T23" s="22" t="str">
        <f>B23 &amp; "-" &amp; D23</f>
        <v>HR Analyst-2</v>
      </c>
      <c r="U23" s="41">
        <f>AVERAGEIFS(H:H, K:K, "Female", B:B, B23, D:D, D23)</f>
        <v>56635.5</v>
      </c>
      <c r="V23" s="41">
        <f>AVERAGEIFS(H:H, K:K, "Male", B:B, B23, D:D, D23)</f>
        <v>59544.4</v>
      </c>
      <c r="W23" s="27">
        <f>(V23-U23)/V23</f>
        <v>4.8852620901377819E-2</v>
      </c>
      <c r="X23" s="23" t="str">
        <f>IF(ABS(W23) &gt;= 0.1, "High Risk",
 IF(ABS(W23) &gt;= 0.05, "Moderate Risk",
 "Low Risk"))</f>
        <v>Low Risk</v>
      </c>
      <c r="Y23" t="str">
        <f>IF(J23&gt;=3,"Yes","No")</f>
        <v>Yes</v>
      </c>
      <c r="Z23">
        <f>IF(TRIM(S23)="Below Market",1,
 IF(TRIM(S23)="At Market",2,
 IF(TRIM(S23)="Above Market",3,0)))</f>
        <v>2</v>
      </c>
      <c r="AA23" s="26" cm="1">
        <f t="array" ref="AA23">IF($Y23&lt;&gt;"Yes",0,INDEX(Merit_Matrix!$B$2:$D$4,MATCH($J23,Merit_Matrix!$A$2:$A$4,0),Z23))</f>
        <v>0.04</v>
      </c>
      <c r="AB23" s="41">
        <f>H23*AA23</f>
        <v>2547.52</v>
      </c>
      <c r="AC23" s="41">
        <f>H23+AB23</f>
        <v>66235.520000000004</v>
      </c>
      <c r="AD23" s="26">
        <f>AC23/O23</f>
        <v>1.0552098136052255</v>
      </c>
      <c r="AE2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4" spans="1:31" x14ac:dyDescent="0.3">
      <c r="A24">
        <v>1021</v>
      </c>
      <c r="B24" t="s">
        <v>20</v>
      </c>
      <c r="C24" t="s">
        <v>13</v>
      </c>
      <c r="D24">
        <v>3</v>
      </c>
      <c r="E24" t="s">
        <v>21</v>
      </c>
      <c r="F24" t="s">
        <v>13</v>
      </c>
      <c r="G24" t="s">
        <v>15</v>
      </c>
      <c r="H24" s="41">
        <v>75530</v>
      </c>
      <c r="I24" t="b">
        <v>1</v>
      </c>
      <c r="J24">
        <v>4</v>
      </c>
      <c r="K24" t="s">
        <v>16</v>
      </c>
      <c r="L24" s="1">
        <v>43053</v>
      </c>
      <c r="M24">
        <v>9</v>
      </c>
      <c r="N24" s="42">
        <f>VLOOKUP(B24,Market_Salary_Benchmarks!$A$1:$G$11,5,FALSE)</f>
        <v>52500</v>
      </c>
      <c r="O24" s="42">
        <f>VLOOKUP(B24,Market_Salary_Benchmarks!$A$1:$G$11,6,FALSE)</f>
        <v>67210</v>
      </c>
      <c r="P24" s="42">
        <f>VLOOKUP(B24,Market_Salary_Benchmarks!$A$1:$G$11,7,FALSE)</f>
        <v>83970</v>
      </c>
      <c r="Q24" s="26">
        <f>H24/O24</f>
        <v>1.1237911025145069</v>
      </c>
      <c r="R24" s="26">
        <f>(H24-N24)/(P24-N24)</f>
        <v>0.73180807117890057</v>
      </c>
      <c r="S24" s="23" t="str">
        <f>IF(H24 &lt; N24, "Below Market", IF(H24 &gt; P24, "Above Market", "At Market"))</f>
        <v>At Market</v>
      </c>
      <c r="T24" s="22" t="str">
        <f>B24 &amp; "-" &amp; D24</f>
        <v>Operations Supervisor-3</v>
      </c>
      <c r="U24" s="41">
        <f>AVERAGEIFS(H:H, K:K, "Female", B:B, B24, D:D, D24)</f>
        <v>79072.21428571429</v>
      </c>
      <c r="V24" s="41">
        <f>AVERAGEIFS(H:H, K:K, "Male", B:B, B24, D:D, D24)</f>
        <v>76780.28571428571</v>
      </c>
      <c r="W24" s="27">
        <f>(V24-U24)/V24</f>
        <v>-2.9850482452713045E-2</v>
      </c>
      <c r="X24" s="23" t="str">
        <f>IF(ABS(W24) &gt;= 0.1, "High Risk",
 IF(ABS(W24) &gt;= 0.05, "Moderate Risk",
 "Low Risk"))</f>
        <v>Low Risk</v>
      </c>
      <c r="Y24" t="str">
        <f>IF(J24&gt;=3,"Yes","No")</f>
        <v>Yes</v>
      </c>
      <c r="Z24">
        <f>IF(TRIM(S24)="Below Market",1,
 IF(TRIM(S24)="At Market",2,
 IF(TRIM(S24)="Above Market",3,0)))</f>
        <v>2</v>
      </c>
      <c r="AA24" s="26" cm="1">
        <f t="array" ref="AA24">IF($Y24&lt;&gt;"Yes",0,INDEX(Merit_Matrix!$B$2:$D$4,MATCH($J24,Merit_Matrix!$A$2:$A$4,0),Z24))</f>
        <v>0.04</v>
      </c>
      <c r="AB24" s="41">
        <f>H24*AA24</f>
        <v>3021.2000000000003</v>
      </c>
      <c r="AC24" s="41">
        <f>H24+AB24</f>
        <v>78551.199999999997</v>
      </c>
      <c r="AD24" s="26">
        <f>AC24/O24</f>
        <v>1.168742746615087</v>
      </c>
      <c r="AE2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5" spans="1:31" x14ac:dyDescent="0.3">
      <c r="A25">
        <v>1022</v>
      </c>
      <c r="B25" t="s">
        <v>20</v>
      </c>
      <c r="C25" t="s">
        <v>13</v>
      </c>
      <c r="D25">
        <v>3</v>
      </c>
      <c r="E25" t="s">
        <v>21</v>
      </c>
      <c r="F25" t="s">
        <v>13</v>
      </c>
      <c r="G25" t="s">
        <v>15</v>
      </c>
      <c r="H25" s="41">
        <v>83919</v>
      </c>
      <c r="I25" t="b">
        <v>1</v>
      </c>
      <c r="J25">
        <v>3</v>
      </c>
      <c r="K25" t="s">
        <v>16</v>
      </c>
      <c r="L25" s="1">
        <v>43890</v>
      </c>
      <c r="M25">
        <v>11</v>
      </c>
      <c r="N25" s="42">
        <f>VLOOKUP(B25,Market_Salary_Benchmarks!$A$1:$G$11,5,FALSE)</f>
        <v>52500</v>
      </c>
      <c r="O25" s="42">
        <f>VLOOKUP(B25,Market_Salary_Benchmarks!$A$1:$G$11,6,FALSE)</f>
        <v>67210</v>
      </c>
      <c r="P25" s="42">
        <f>VLOOKUP(B25,Market_Salary_Benchmarks!$A$1:$G$11,7,FALSE)</f>
        <v>83970</v>
      </c>
      <c r="Q25" s="26">
        <f>H25/O25</f>
        <v>1.24860883797054</v>
      </c>
      <c r="R25" s="26">
        <f>(H25-N25)/(P25-N25)</f>
        <v>0.99837940896091515</v>
      </c>
      <c r="S25" s="23" t="str">
        <f>IF(H25 &lt; N25, "Below Market", IF(H25 &gt; P25, "Above Market", "At Market"))</f>
        <v>At Market</v>
      </c>
      <c r="T25" s="22" t="str">
        <f>B25 &amp; "-" &amp; D25</f>
        <v>Operations Supervisor-3</v>
      </c>
      <c r="U25" s="41">
        <f>AVERAGEIFS(H:H, K:K, "Female", B:B, B25, D:D, D25)</f>
        <v>79072.21428571429</v>
      </c>
      <c r="V25" s="41">
        <f>AVERAGEIFS(H:H, K:K, "Male", B:B, B25, D:D, D25)</f>
        <v>76780.28571428571</v>
      </c>
      <c r="W25" s="27">
        <f>(V25-U25)/V25</f>
        <v>-2.9850482452713045E-2</v>
      </c>
      <c r="X25" s="23" t="str">
        <f>IF(ABS(W25) &gt;= 0.1, "High Risk",
 IF(ABS(W25) &gt;= 0.05, "Moderate Risk",
 "Low Risk"))</f>
        <v>Low Risk</v>
      </c>
      <c r="Y25" t="str">
        <f>IF(J25&gt;=3,"Yes","No")</f>
        <v>Yes</v>
      </c>
      <c r="Z25">
        <f>IF(TRIM(S25)="Below Market",1,
 IF(TRIM(S25)="At Market",2,
 IF(TRIM(S25)="Above Market",3,0)))</f>
        <v>2</v>
      </c>
      <c r="AA25" s="26" cm="1">
        <f t="array" ref="AA25">IF($Y25&lt;&gt;"Yes",0,INDEX(Merit_Matrix!$B$2:$D$4,MATCH($J25,Merit_Matrix!$A$2:$A$4,0),Z25))</f>
        <v>0.03</v>
      </c>
      <c r="AB25" s="41">
        <f>H25*AA25</f>
        <v>2517.5699999999997</v>
      </c>
      <c r="AC25" s="41">
        <f>H25+AB25</f>
        <v>86436.57</v>
      </c>
      <c r="AD25" s="26">
        <f>AC25/O25</f>
        <v>1.2860671031096564</v>
      </c>
      <c r="AE25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26" spans="1:31" x14ac:dyDescent="0.3">
      <c r="A26">
        <v>1023</v>
      </c>
      <c r="B26" t="s">
        <v>25</v>
      </c>
      <c r="C26" t="s">
        <v>26</v>
      </c>
      <c r="D26">
        <v>3</v>
      </c>
      <c r="E26" t="s">
        <v>14</v>
      </c>
      <c r="F26" t="s">
        <v>26</v>
      </c>
      <c r="G26" t="s">
        <v>15</v>
      </c>
      <c r="H26" s="41">
        <v>73581</v>
      </c>
      <c r="I26" t="b">
        <v>1</v>
      </c>
      <c r="J26">
        <v>4</v>
      </c>
      <c r="K26" t="s">
        <v>19</v>
      </c>
      <c r="L26" s="1">
        <v>45369</v>
      </c>
      <c r="M26">
        <v>2</v>
      </c>
      <c r="N26" s="42">
        <f>VLOOKUP(B26,Market_Salary_Benchmarks!$A$1:$G$11,5,FALSE)</f>
        <v>49460</v>
      </c>
      <c r="O26" s="42">
        <f>VLOOKUP(B26,Market_Salary_Benchmarks!$A$1:$G$11,6,FALSE)</f>
        <v>78370</v>
      </c>
      <c r="P26" s="42">
        <f>VLOOKUP(B26,Market_Salary_Benchmarks!$A$1:$G$11,7,FALSE)</f>
        <v>104330</v>
      </c>
      <c r="Q26" s="26">
        <f>H26/O26</f>
        <v>0.93889243332908001</v>
      </c>
      <c r="R26" s="26">
        <f>(H26-N26)/(P26-N26)</f>
        <v>0.43960269728449064</v>
      </c>
      <c r="S26" s="23" t="str">
        <f>IF(H26 &lt; N26, "Below Market", IF(H26 &gt; P26, "Above Market", "At Market"))</f>
        <v>At Market</v>
      </c>
      <c r="T26" s="22" t="str">
        <f>B26 &amp; "-" &amp; D26</f>
        <v>Financial Analyst-3</v>
      </c>
      <c r="U26" s="41">
        <f>AVERAGEIFS(H:H, K:K, "Female", B:B, B26, D:D, D26)</f>
        <v>76962.636363636368</v>
      </c>
      <c r="V26" s="41">
        <f>AVERAGEIFS(H:H, K:K, "Male", B:B, B26, D:D, D26)</f>
        <v>77416</v>
      </c>
      <c r="W26" s="27">
        <f>(V26-U26)/V26</f>
        <v>5.8562007383955823E-3</v>
      </c>
      <c r="X26" s="23" t="str">
        <f>IF(ABS(W26) &gt;= 0.1, "High Risk",
 IF(ABS(W26) &gt;= 0.05, "Moderate Risk",
 "Low Risk"))</f>
        <v>Low Risk</v>
      </c>
      <c r="Y26" t="str">
        <f>IF(J26&gt;=3,"Yes","No")</f>
        <v>Yes</v>
      </c>
      <c r="Z26">
        <f>IF(TRIM(S26)="Below Market",1,
 IF(TRIM(S26)="At Market",2,
 IF(TRIM(S26)="Above Market",3,0)))</f>
        <v>2</v>
      </c>
      <c r="AA26" s="26" cm="1">
        <f t="array" ref="AA26">IF($Y26&lt;&gt;"Yes",0,INDEX(Merit_Matrix!$B$2:$D$4,MATCH($J26,Merit_Matrix!$A$2:$A$4,0),Z26))</f>
        <v>0.04</v>
      </c>
      <c r="AB26" s="41">
        <f>H26*AA26</f>
        <v>2943.2400000000002</v>
      </c>
      <c r="AC26" s="41">
        <f>H26+AB26</f>
        <v>76524.240000000005</v>
      </c>
      <c r="AD26" s="26">
        <f>AC26/O26</f>
        <v>0.97644813066224323</v>
      </c>
      <c r="AE2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7" spans="1:31" x14ac:dyDescent="0.3">
      <c r="A27">
        <v>1024</v>
      </c>
      <c r="B27" t="s">
        <v>29</v>
      </c>
      <c r="C27" t="s">
        <v>24</v>
      </c>
      <c r="D27">
        <v>2</v>
      </c>
      <c r="E27" t="s">
        <v>14</v>
      </c>
      <c r="F27" t="s">
        <v>24</v>
      </c>
      <c r="G27" t="s">
        <v>15</v>
      </c>
      <c r="H27" s="41">
        <v>62289</v>
      </c>
      <c r="I27" t="b">
        <v>0</v>
      </c>
      <c r="J27">
        <v>2</v>
      </c>
      <c r="K27" t="s">
        <v>19</v>
      </c>
      <c r="L27" s="1">
        <v>44129</v>
      </c>
      <c r="M27">
        <v>2</v>
      </c>
      <c r="N27" s="42">
        <f>VLOOKUP(B27,Market_Salary_Benchmarks!$A$1:$G$11,5,FALSE)</f>
        <v>48890</v>
      </c>
      <c r="O27" s="42">
        <f>VLOOKUP(B27,Market_Salary_Benchmarks!$A$1:$G$11,6,FALSE)</f>
        <v>62770</v>
      </c>
      <c r="P27" s="42">
        <f>VLOOKUP(B27,Market_Salary_Benchmarks!$A$1:$G$11,7,FALSE)</f>
        <v>82990</v>
      </c>
      <c r="Q27" s="26">
        <f>H27/O27</f>
        <v>0.99233710371196426</v>
      </c>
      <c r="R27" s="26">
        <f>(H27-N27)/(P27-N27)</f>
        <v>0.3929325513196481</v>
      </c>
      <c r="S27" s="23" t="str">
        <f>IF(H27 &lt; N27, "Below Market", IF(H27 &gt; P27, "Above Market", "At Market"))</f>
        <v>At Market</v>
      </c>
      <c r="T27" s="22" t="str">
        <f>B27 &amp; "-" &amp; D27</f>
        <v>HR Analyst-2</v>
      </c>
      <c r="U27" s="41">
        <f>AVERAGEIFS(H:H, K:K, "Female", B:B, B27, D:D, D27)</f>
        <v>56635.5</v>
      </c>
      <c r="V27" s="41">
        <f>AVERAGEIFS(H:H, K:K, "Male", B:B, B27, D:D, D27)</f>
        <v>59544.4</v>
      </c>
      <c r="W27" s="27">
        <f>(V27-U27)/V27</f>
        <v>4.8852620901377819E-2</v>
      </c>
      <c r="X27" s="23" t="str">
        <f>IF(ABS(W27) &gt;= 0.1, "High Risk",
 IF(ABS(W27) &gt;= 0.05, "Moderate Risk",
 "Low Risk"))</f>
        <v>Low Risk</v>
      </c>
      <c r="Y27" t="str">
        <f>IF(J27&gt;=3,"Yes","No")</f>
        <v>No</v>
      </c>
      <c r="Z27">
        <f>IF(TRIM(S27)="Below Market",1,
 IF(TRIM(S27)="At Market",2,
 IF(TRIM(S27)="Above Market",3,0)))</f>
        <v>2</v>
      </c>
      <c r="AA27" s="26" cm="1">
        <f t="array" ref="AA27">IF($Y27&lt;&gt;"Yes",0,INDEX(Merit_Matrix!$B$2:$D$4,MATCH($J27,Merit_Matrix!$A$2:$A$4,0),Z27))</f>
        <v>0</v>
      </c>
      <c r="AB27" s="41">
        <f>H27*AA27</f>
        <v>0</v>
      </c>
      <c r="AC27" s="41">
        <f>H27+AB27</f>
        <v>62289</v>
      </c>
      <c r="AD27" s="26">
        <f>AC27/O27</f>
        <v>0.99233710371196426</v>
      </c>
      <c r="AE2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8" spans="1:31" x14ac:dyDescent="0.3">
      <c r="A28">
        <v>1025</v>
      </c>
      <c r="B28" t="s">
        <v>29</v>
      </c>
      <c r="C28" t="s">
        <v>24</v>
      </c>
      <c r="D28">
        <v>2</v>
      </c>
      <c r="E28" t="s">
        <v>14</v>
      </c>
      <c r="F28" t="s">
        <v>24</v>
      </c>
      <c r="G28" t="s">
        <v>15</v>
      </c>
      <c r="H28" s="41">
        <v>61666</v>
      </c>
      <c r="I28" t="b">
        <v>0</v>
      </c>
      <c r="J28">
        <v>3</v>
      </c>
      <c r="K28" t="s">
        <v>19</v>
      </c>
      <c r="L28" s="1">
        <v>43205</v>
      </c>
      <c r="M28">
        <v>8</v>
      </c>
      <c r="N28" s="42">
        <f>VLOOKUP(B28,Market_Salary_Benchmarks!$A$1:$G$11,5,FALSE)</f>
        <v>48890</v>
      </c>
      <c r="O28" s="42">
        <f>VLOOKUP(B28,Market_Salary_Benchmarks!$A$1:$G$11,6,FALSE)</f>
        <v>62770</v>
      </c>
      <c r="P28" s="42">
        <f>VLOOKUP(B28,Market_Salary_Benchmarks!$A$1:$G$11,7,FALSE)</f>
        <v>82990</v>
      </c>
      <c r="Q28" s="26">
        <f>H28/O28</f>
        <v>0.98241198024534016</v>
      </c>
      <c r="R28" s="26">
        <f>(H28-N28)/(P28-N28)</f>
        <v>0.37466275659824044</v>
      </c>
      <c r="S28" s="23" t="str">
        <f>IF(H28 &lt; N28, "Below Market", IF(H28 &gt; P28, "Above Market", "At Market"))</f>
        <v>At Market</v>
      </c>
      <c r="T28" s="22" t="str">
        <f>B28 &amp; "-" &amp; D28</f>
        <v>HR Analyst-2</v>
      </c>
      <c r="U28" s="41">
        <f>AVERAGEIFS(H:H, K:K, "Female", B:B, B28, D:D, D28)</f>
        <v>56635.5</v>
      </c>
      <c r="V28" s="41">
        <f>AVERAGEIFS(H:H, K:K, "Male", B:B, B28, D:D, D28)</f>
        <v>59544.4</v>
      </c>
      <c r="W28" s="27">
        <f>(V28-U28)/V28</f>
        <v>4.8852620901377819E-2</v>
      </c>
      <c r="X28" s="23" t="str">
        <f>IF(ABS(W28) &gt;= 0.1, "High Risk",
 IF(ABS(W28) &gt;= 0.05, "Moderate Risk",
 "Low Risk"))</f>
        <v>Low Risk</v>
      </c>
      <c r="Y28" t="str">
        <f>IF(J28&gt;=3,"Yes","No")</f>
        <v>Yes</v>
      </c>
      <c r="Z28">
        <f>IF(TRIM(S28)="Below Market",1,
 IF(TRIM(S28)="At Market",2,
 IF(TRIM(S28)="Above Market",3,0)))</f>
        <v>2</v>
      </c>
      <c r="AA28" s="26" cm="1">
        <f t="array" ref="AA28">IF($Y28&lt;&gt;"Yes",0,INDEX(Merit_Matrix!$B$2:$D$4,MATCH($J28,Merit_Matrix!$A$2:$A$4,0),Z28))</f>
        <v>0.03</v>
      </c>
      <c r="AB28" s="41">
        <f>H28*AA28</f>
        <v>1849.98</v>
      </c>
      <c r="AC28" s="41">
        <f>H28+AB28</f>
        <v>63515.98</v>
      </c>
      <c r="AD28" s="26">
        <f>AC28/O28</f>
        <v>1.0118843396527004</v>
      </c>
      <c r="AE2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29" spans="1:31" x14ac:dyDescent="0.3">
      <c r="A29">
        <v>1026</v>
      </c>
      <c r="B29" t="s">
        <v>17</v>
      </c>
      <c r="C29" t="s">
        <v>18</v>
      </c>
      <c r="D29">
        <v>2</v>
      </c>
      <c r="E29" t="s">
        <v>14</v>
      </c>
      <c r="F29" t="s">
        <v>18</v>
      </c>
      <c r="G29" t="s">
        <v>15</v>
      </c>
      <c r="H29" s="41">
        <v>54218</v>
      </c>
      <c r="I29" t="b">
        <v>0</v>
      </c>
      <c r="J29">
        <v>3</v>
      </c>
      <c r="K29" t="s">
        <v>16</v>
      </c>
      <c r="L29" s="1">
        <v>42567</v>
      </c>
      <c r="M29">
        <v>7</v>
      </c>
      <c r="N29" s="42">
        <f>VLOOKUP(B29,Market_Salary_Benchmarks!$A$1:$G$11,5,FALSE)</f>
        <v>81130</v>
      </c>
      <c r="O29" s="42">
        <f>VLOOKUP(B29,Market_Salary_Benchmarks!$A$1:$G$11,6,FALSE)</f>
        <v>103730</v>
      </c>
      <c r="P29" s="42">
        <f>VLOOKUP(B29,Market_Salary_Benchmarks!$A$1:$G$11,7,FALSE)</f>
        <v>132670</v>
      </c>
      <c r="Q29" s="26">
        <f>H29/O29</f>
        <v>0.52268389087052924</v>
      </c>
      <c r="R29" s="26">
        <f>(H29-N29)/(P29-N29)</f>
        <v>-0.5221575475358945</v>
      </c>
      <c r="S29" s="23" t="str">
        <f>IF(H29 &lt; N29, "Below Market", IF(H29 &gt; P29, "Above Market", "At Market"))</f>
        <v>Below Market</v>
      </c>
      <c r="T29" s="22" t="str">
        <f>B29 &amp; "-" &amp; D29</f>
        <v>IT Analyst-2</v>
      </c>
      <c r="U29" s="41">
        <f>AVERAGEIFS(H:H, K:K, "Female", B:B, B29, D:D, D29)</f>
        <v>55600.230769230766</v>
      </c>
      <c r="V29" s="41">
        <f>AVERAGEIFS(H:H, K:K, "Male", B:B, B29, D:D, D29)</f>
        <v>58468.727272727272</v>
      </c>
      <c r="W29" s="27">
        <f>(V29-U29)/V29</f>
        <v>4.9060354779340579E-2</v>
      </c>
      <c r="X29" s="23" t="str">
        <f>IF(ABS(W29) &gt;= 0.1, "High Risk",
 IF(ABS(W29) &gt;= 0.05, "Moderate Risk",
 "Low Risk"))</f>
        <v>Low Risk</v>
      </c>
      <c r="Y29" t="str">
        <f>IF(J29&gt;=3,"Yes","No")</f>
        <v>Yes</v>
      </c>
      <c r="Z29">
        <f>IF(TRIM(S29)="Below Market",1,
 IF(TRIM(S29)="At Market",2,
 IF(TRIM(S29)="Above Market",3,0)))</f>
        <v>1</v>
      </c>
      <c r="AA29" s="26" cm="1">
        <f t="array" ref="AA29">IF($Y29&lt;&gt;"Yes",0,INDEX(Merit_Matrix!$B$2:$D$4,MATCH($J29,Merit_Matrix!$A$2:$A$4,0),Z29))</f>
        <v>3.5000000000000003E-2</v>
      </c>
      <c r="AB29" s="41">
        <f>H29*AA29</f>
        <v>1897.63</v>
      </c>
      <c r="AC29" s="41">
        <f>H29+AB29</f>
        <v>56115.63</v>
      </c>
      <c r="AD29" s="26">
        <f>AC29/O29</f>
        <v>0.54097782705099773</v>
      </c>
      <c r="AE29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30" spans="1:31" x14ac:dyDescent="0.3">
      <c r="A30">
        <v>1027</v>
      </c>
      <c r="B30" t="s">
        <v>29</v>
      </c>
      <c r="C30" t="s">
        <v>24</v>
      </c>
      <c r="D30">
        <v>2</v>
      </c>
      <c r="E30" t="s">
        <v>14</v>
      </c>
      <c r="F30" t="s">
        <v>24</v>
      </c>
      <c r="G30" t="s">
        <v>15</v>
      </c>
      <c r="H30" s="41">
        <v>61464</v>
      </c>
      <c r="I30" t="b">
        <v>0</v>
      </c>
      <c r="J30">
        <v>4</v>
      </c>
      <c r="K30" t="s">
        <v>19</v>
      </c>
      <c r="L30" s="1">
        <v>43029</v>
      </c>
      <c r="M30">
        <v>13</v>
      </c>
      <c r="N30" s="42">
        <f>VLOOKUP(B30,Market_Salary_Benchmarks!$A$1:$G$11,5,FALSE)</f>
        <v>48890</v>
      </c>
      <c r="O30" s="42">
        <f>VLOOKUP(B30,Market_Salary_Benchmarks!$A$1:$G$11,6,FALSE)</f>
        <v>62770</v>
      </c>
      <c r="P30" s="42">
        <f>VLOOKUP(B30,Market_Salary_Benchmarks!$A$1:$G$11,7,FALSE)</f>
        <v>82990</v>
      </c>
      <c r="Q30" s="26">
        <f>H30/O30</f>
        <v>0.97919388242791139</v>
      </c>
      <c r="R30" s="26">
        <f>(H30-N30)/(P30-N30)</f>
        <v>0.3687390029325513</v>
      </c>
      <c r="S30" s="23" t="str">
        <f>IF(H30 &lt; N30, "Below Market", IF(H30 &gt; P30, "Above Market", "At Market"))</f>
        <v>At Market</v>
      </c>
      <c r="T30" s="22" t="str">
        <f>B30 &amp; "-" &amp; D30</f>
        <v>HR Analyst-2</v>
      </c>
      <c r="U30" s="41">
        <f>AVERAGEIFS(H:H, K:K, "Female", B:B, B30, D:D, D30)</f>
        <v>56635.5</v>
      </c>
      <c r="V30" s="41">
        <f>AVERAGEIFS(H:H, K:K, "Male", B:B, B30, D:D, D30)</f>
        <v>59544.4</v>
      </c>
      <c r="W30" s="27">
        <f>(V30-U30)/V30</f>
        <v>4.8852620901377819E-2</v>
      </c>
      <c r="X30" s="23" t="str">
        <f>IF(ABS(W30) &gt;= 0.1, "High Risk",
 IF(ABS(W30) &gt;= 0.05, "Moderate Risk",
 "Low Risk"))</f>
        <v>Low Risk</v>
      </c>
      <c r="Y30" t="str">
        <f>IF(J30&gt;=3,"Yes","No")</f>
        <v>Yes</v>
      </c>
      <c r="Z30">
        <f>IF(TRIM(S30)="Below Market",1,
 IF(TRIM(S30)="At Market",2,
 IF(TRIM(S30)="Above Market",3,0)))</f>
        <v>2</v>
      </c>
      <c r="AA30" s="26" cm="1">
        <f t="array" ref="AA30">IF($Y30&lt;&gt;"Yes",0,INDEX(Merit_Matrix!$B$2:$D$4,MATCH($J30,Merit_Matrix!$A$2:$A$4,0),Z30))</f>
        <v>0.04</v>
      </c>
      <c r="AB30" s="41">
        <f>H30*AA30</f>
        <v>2458.56</v>
      </c>
      <c r="AC30" s="41">
        <f>H30+AB30</f>
        <v>63922.559999999998</v>
      </c>
      <c r="AD30" s="26">
        <f>AC30/O30</f>
        <v>1.0183616377250277</v>
      </c>
      <c r="AE3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31" spans="1:31" x14ac:dyDescent="0.3">
      <c r="A31">
        <v>1028</v>
      </c>
      <c r="B31" t="s">
        <v>25</v>
      </c>
      <c r="C31" t="s">
        <v>26</v>
      </c>
      <c r="D31">
        <v>3</v>
      </c>
      <c r="E31" t="s">
        <v>14</v>
      </c>
      <c r="F31" t="s">
        <v>26</v>
      </c>
      <c r="G31" t="s">
        <v>15</v>
      </c>
      <c r="H31" s="41">
        <v>79561</v>
      </c>
      <c r="I31" t="b">
        <v>1</v>
      </c>
      <c r="J31">
        <v>4</v>
      </c>
      <c r="K31" t="s">
        <v>16</v>
      </c>
      <c r="L31" s="1">
        <v>45281</v>
      </c>
      <c r="M31">
        <v>8</v>
      </c>
      <c r="N31" s="42">
        <f>VLOOKUP(B31,Market_Salary_Benchmarks!$A$1:$G$11,5,FALSE)</f>
        <v>49460</v>
      </c>
      <c r="O31" s="42">
        <f>VLOOKUP(B31,Market_Salary_Benchmarks!$A$1:$G$11,6,FALSE)</f>
        <v>78370</v>
      </c>
      <c r="P31" s="42">
        <f>VLOOKUP(B31,Market_Salary_Benchmarks!$A$1:$G$11,7,FALSE)</f>
        <v>104330</v>
      </c>
      <c r="Q31" s="26">
        <f>H31/O31</f>
        <v>1.0151971417634298</v>
      </c>
      <c r="R31" s="26">
        <f>(H31-N31)/(P31-N31)</f>
        <v>0.5485875706214689</v>
      </c>
      <c r="S31" s="23" t="str">
        <f>IF(H31 &lt; N31, "Below Market", IF(H31 &gt; P31, "Above Market", "At Market"))</f>
        <v>At Market</v>
      </c>
      <c r="T31" s="22" t="str">
        <f>B31 &amp; "-" &amp; D31</f>
        <v>Financial Analyst-3</v>
      </c>
      <c r="U31" s="41">
        <f>AVERAGEIFS(H:H, K:K, "Female", B:B, B31, D:D, D31)</f>
        <v>76962.636363636368</v>
      </c>
      <c r="V31" s="41">
        <f>AVERAGEIFS(H:H, K:K, "Male", B:B, B31, D:D, D31)</f>
        <v>77416</v>
      </c>
      <c r="W31" s="27">
        <f>(V31-U31)/V31</f>
        <v>5.8562007383955823E-3</v>
      </c>
      <c r="X31" s="23" t="str">
        <f>IF(ABS(W31) &gt;= 0.1, "High Risk",
 IF(ABS(W31) &gt;= 0.05, "Moderate Risk",
 "Low Risk"))</f>
        <v>Low Risk</v>
      </c>
      <c r="Y31" t="str">
        <f>IF(J31&gt;=3,"Yes","No")</f>
        <v>Yes</v>
      </c>
      <c r="Z31">
        <f>IF(TRIM(S31)="Below Market",1,
 IF(TRIM(S31)="At Market",2,
 IF(TRIM(S31)="Above Market",3,0)))</f>
        <v>2</v>
      </c>
      <c r="AA31" s="26" cm="1">
        <f t="array" ref="AA31">IF($Y31&lt;&gt;"Yes",0,INDEX(Merit_Matrix!$B$2:$D$4,MATCH($J31,Merit_Matrix!$A$2:$A$4,0),Z31))</f>
        <v>0.04</v>
      </c>
      <c r="AB31" s="41">
        <f>H31*AA31</f>
        <v>3182.44</v>
      </c>
      <c r="AC31" s="41">
        <f>H31+AB31</f>
        <v>82743.44</v>
      </c>
      <c r="AD31" s="26">
        <f>AC31/O31</f>
        <v>1.0558050274339672</v>
      </c>
      <c r="AE3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32" spans="1:31" x14ac:dyDescent="0.3">
      <c r="A32">
        <v>1029</v>
      </c>
      <c r="B32" t="s">
        <v>25</v>
      </c>
      <c r="C32" t="s">
        <v>26</v>
      </c>
      <c r="D32">
        <v>3</v>
      </c>
      <c r="E32" t="s">
        <v>14</v>
      </c>
      <c r="F32" t="s">
        <v>26</v>
      </c>
      <c r="G32" t="s">
        <v>15</v>
      </c>
      <c r="H32" s="41">
        <v>72976</v>
      </c>
      <c r="I32" t="b">
        <v>1</v>
      </c>
      <c r="J32">
        <v>3</v>
      </c>
      <c r="K32" t="s">
        <v>16</v>
      </c>
      <c r="L32" s="1">
        <v>43010</v>
      </c>
      <c r="M32">
        <v>12</v>
      </c>
      <c r="N32" s="42">
        <f>VLOOKUP(B32,Market_Salary_Benchmarks!$A$1:$G$11,5,FALSE)</f>
        <v>49460</v>
      </c>
      <c r="O32" s="42">
        <f>VLOOKUP(B32,Market_Salary_Benchmarks!$A$1:$G$11,6,FALSE)</f>
        <v>78370</v>
      </c>
      <c r="P32" s="42">
        <f>VLOOKUP(B32,Market_Salary_Benchmarks!$A$1:$G$11,7,FALSE)</f>
        <v>104330</v>
      </c>
      <c r="Q32" s="26">
        <f>H32/O32</f>
        <v>0.93117264259282884</v>
      </c>
      <c r="R32" s="26">
        <f>(H32-N32)/(P32-N32)</f>
        <v>0.42857663568434484</v>
      </c>
      <c r="S32" s="23" t="str">
        <f>IF(H32 &lt; N32, "Below Market", IF(H32 &gt; P32, "Above Market", "At Market"))</f>
        <v>At Market</v>
      </c>
      <c r="T32" s="22" t="str">
        <f>B32 &amp; "-" &amp; D32</f>
        <v>Financial Analyst-3</v>
      </c>
      <c r="U32" s="41">
        <f>AVERAGEIFS(H:H, K:K, "Female", B:B, B32, D:D, D32)</f>
        <v>76962.636363636368</v>
      </c>
      <c r="V32" s="41">
        <f>AVERAGEIFS(H:H, K:K, "Male", B:B, B32, D:D, D32)</f>
        <v>77416</v>
      </c>
      <c r="W32" s="27">
        <f>(V32-U32)/V32</f>
        <v>5.8562007383955823E-3</v>
      </c>
      <c r="X32" s="23" t="str">
        <f>IF(ABS(W32) &gt;= 0.1, "High Risk",
 IF(ABS(W32) &gt;= 0.05, "Moderate Risk",
 "Low Risk"))</f>
        <v>Low Risk</v>
      </c>
      <c r="Y32" t="str">
        <f>IF(J32&gt;=3,"Yes","No")</f>
        <v>Yes</v>
      </c>
      <c r="Z32">
        <f>IF(TRIM(S32)="Below Market",1,
 IF(TRIM(S32)="At Market",2,
 IF(TRIM(S32)="Above Market",3,0)))</f>
        <v>2</v>
      </c>
      <c r="AA32" s="26" cm="1">
        <f t="array" ref="AA32">IF($Y32&lt;&gt;"Yes",0,INDEX(Merit_Matrix!$B$2:$D$4,MATCH($J32,Merit_Matrix!$A$2:$A$4,0),Z32))</f>
        <v>0.03</v>
      </c>
      <c r="AB32" s="41">
        <f>H32*AA32</f>
        <v>2189.2799999999997</v>
      </c>
      <c r="AC32" s="41">
        <f>H32+AB32</f>
        <v>75165.279999999999</v>
      </c>
      <c r="AD32" s="26">
        <f>AC32/O32</f>
        <v>0.95910782187061372</v>
      </c>
      <c r="AE3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33" spans="1:31" x14ac:dyDescent="0.3">
      <c r="A33">
        <v>1030</v>
      </c>
      <c r="B33" t="s">
        <v>22</v>
      </c>
      <c r="C33" t="s">
        <v>18</v>
      </c>
      <c r="D33">
        <v>3</v>
      </c>
      <c r="E33" t="s">
        <v>14</v>
      </c>
      <c r="F33" t="s">
        <v>18</v>
      </c>
      <c r="G33" t="s">
        <v>15</v>
      </c>
      <c r="H33" s="41">
        <v>84257</v>
      </c>
      <c r="I33" t="b">
        <v>1</v>
      </c>
      <c r="J33">
        <v>3</v>
      </c>
      <c r="K33" t="s">
        <v>16</v>
      </c>
      <c r="L33" s="1">
        <v>44004</v>
      </c>
      <c r="M33">
        <v>8</v>
      </c>
      <c r="N33" s="42">
        <f>VLOOKUP(B33,Market_Salary_Benchmarks!$A$1:$G$11,5,FALSE)</f>
        <v>103040</v>
      </c>
      <c r="O33" s="42">
        <f>VLOOKUP(B33,Market_Salary_Benchmarks!$A$1:$G$11,6,FALSE)</f>
        <v>133500</v>
      </c>
      <c r="P33" s="42">
        <f>VLOOKUP(B33,Market_Salary_Benchmarks!$A$1:$G$11,7,FALSE)</f>
        <v>171680</v>
      </c>
      <c r="Q33" s="26">
        <f>H33/O33</f>
        <v>0.63113857677902618</v>
      </c>
      <c r="R33" s="26">
        <f>(H33-N33)/(P33-N33)</f>
        <v>-0.27364510489510491</v>
      </c>
      <c r="S33" s="23" t="str">
        <f>IF(H33 &lt; N33, "Below Market", IF(H33 &gt; P33, "Above Market", "At Market"))</f>
        <v>Below Market</v>
      </c>
      <c r="T33" s="22" t="str">
        <f>B33 &amp; "-" &amp; D33</f>
        <v>Senior IT Analyst-3</v>
      </c>
      <c r="U33" s="41">
        <f>AVERAGEIFS(H:H, K:K, "Female", B:B, B33, D:D, D33)</f>
        <v>78401.571428571435</v>
      </c>
      <c r="V33" s="41">
        <f>AVERAGEIFS(H:H, K:K, "Male", B:B, B33, D:D, D33)</f>
        <v>75875.125</v>
      </c>
      <c r="W33" s="27">
        <f>(V33-U33)/V33</f>
        <v>-3.3297426904686282E-2</v>
      </c>
      <c r="X33" s="23" t="str">
        <f>IF(ABS(W33) &gt;= 0.1, "High Risk",
 IF(ABS(W33) &gt;= 0.05, "Moderate Risk",
 "Low Risk"))</f>
        <v>Low Risk</v>
      </c>
      <c r="Y33" t="str">
        <f>IF(J33&gt;=3,"Yes","No")</f>
        <v>Yes</v>
      </c>
      <c r="Z33">
        <f>IF(TRIM(S33)="Below Market",1,
 IF(TRIM(S33)="At Market",2,
 IF(TRIM(S33)="Above Market",3,0)))</f>
        <v>1</v>
      </c>
      <c r="AA33" s="26" cm="1">
        <f t="array" ref="AA33">IF($Y33&lt;&gt;"Yes",0,INDEX(Merit_Matrix!$B$2:$D$4,MATCH($J33,Merit_Matrix!$A$2:$A$4,0),Z33))</f>
        <v>3.5000000000000003E-2</v>
      </c>
      <c r="AB33" s="41">
        <f>H33*AA33</f>
        <v>2948.9950000000003</v>
      </c>
      <c r="AC33" s="41">
        <f>H33+AB33</f>
        <v>87205.994999999995</v>
      </c>
      <c r="AD33" s="26">
        <f>AC33/O33</f>
        <v>0.65322842696629213</v>
      </c>
      <c r="AE3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34" spans="1:31" x14ac:dyDescent="0.3">
      <c r="A34">
        <v>1031</v>
      </c>
      <c r="B34" t="s">
        <v>23</v>
      </c>
      <c r="C34" t="s">
        <v>24</v>
      </c>
      <c r="D34">
        <v>4</v>
      </c>
      <c r="E34" t="s">
        <v>14</v>
      </c>
      <c r="F34" t="s">
        <v>24</v>
      </c>
      <c r="G34" t="s">
        <v>15</v>
      </c>
      <c r="H34" s="41">
        <v>104371</v>
      </c>
      <c r="I34" t="b">
        <v>1</v>
      </c>
      <c r="J34">
        <v>3</v>
      </c>
      <c r="K34" t="s">
        <v>16</v>
      </c>
      <c r="L34" s="1">
        <v>45314</v>
      </c>
      <c r="M34">
        <v>13</v>
      </c>
      <c r="N34" s="42">
        <f>VLOOKUP(B34,Market_Salary_Benchmarks!$A$1:$G$11,5,FALSE)</f>
        <v>82620</v>
      </c>
      <c r="O34" s="42">
        <f>VLOOKUP(B34,Market_Salary_Benchmarks!$A$1:$G$11,6,FALSE)</f>
        <v>110030</v>
      </c>
      <c r="P34" s="42">
        <f>VLOOKUP(B34,Market_Salary_Benchmarks!$A$1:$G$11,7,FALSE)</f>
        <v>146810</v>
      </c>
      <c r="Q34" s="26">
        <f>H34/O34</f>
        <v>0.94856857220757973</v>
      </c>
      <c r="R34" s="26">
        <f>(H34-N34)/(P34-N34)</f>
        <v>0.33885340395700264</v>
      </c>
      <c r="S34" s="23" t="str">
        <f>IF(H34 &lt; N34, "Below Market", IF(H34 &gt; P34, "Above Market", "At Market"))</f>
        <v>At Market</v>
      </c>
      <c r="T34" s="22" t="str">
        <f>B34 &amp; "-" &amp; D34</f>
        <v>HR Manager-4</v>
      </c>
      <c r="U34" s="41">
        <f>AVERAGEIFS(H:H, K:K, "Female", B:B, B34, D:D, D34)</f>
        <v>97910.769230769234</v>
      </c>
      <c r="V34" s="41">
        <f>AVERAGEIFS(H:H, K:K, "Male", B:B, B34, D:D, D34)</f>
        <v>96300.666666666672</v>
      </c>
      <c r="W34" s="27">
        <f>(V34-U34)/V34</f>
        <v>-1.6719537048229805E-2</v>
      </c>
      <c r="X34" s="23" t="str">
        <f>IF(ABS(W34) &gt;= 0.1, "High Risk",
 IF(ABS(W34) &gt;= 0.05, "Moderate Risk",
 "Low Risk"))</f>
        <v>Low Risk</v>
      </c>
      <c r="Y34" t="str">
        <f>IF(J34&gt;=3,"Yes","No")</f>
        <v>Yes</v>
      </c>
      <c r="Z34">
        <f>IF(TRIM(S34)="Below Market",1,
 IF(TRIM(S34)="At Market",2,
 IF(TRIM(S34)="Above Market",3,0)))</f>
        <v>2</v>
      </c>
      <c r="AA34" s="26" cm="1">
        <f t="array" ref="AA34">IF($Y34&lt;&gt;"Yes",0,INDEX(Merit_Matrix!$B$2:$D$4,MATCH($J34,Merit_Matrix!$A$2:$A$4,0),Z34))</f>
        <v>0.03</v>
      </c>
      <c r="AB34" s="41">
        <f>H34*AA34</f>
        <v>3131.13</v>
      </c>
      <c r="AC34" s="41">
        <f>H34+AB34</f>
        <v>107502.13</v>
      </c>
      <c r="AD34" s="26">
        <f>AC34/O34</f>
        <v>0.97702562937380721</v>
      </c>
      <c r="AE3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35" spans="1:31" x14ac:dyDescent="0.3">
      <c r="A35">
        <v>1032</v>
      </c>
      <c r="B35" t="s">
        <v>27</v>
      </c>
      <c r="C35" t="s">
        <v>26</v>
      </c>
      <c r="D35">
        <v>4</v>
      </c>
      <c r="E35" t="s">
        <v>14</v>
      </c>
      <c r="F35" t="s">
        <v>26</v>
      </c>
      <c r="G35" t="s">
        <v>15</v>
      </c>
      <c r="H35" s="41">
        <v>95158</v>
      </c>
      <c r="I35" t="b">
        <v>1</v>
      </c>
      <c r="J35">
        <v>3</v>
      </c>
      <c r="K35" t="s">
        <v>19</v>
      </c>
      <c r="L35" s="1">
        <v>44052</v>
      </c>
      <c r="M35">
        <v>4</v>
      </c>
      <c r="N35" s="42">
        <f>VLOOKUP(B35,Market_Salary_Benchmarks!$A$1:$G$11,5,FALSE)</f>
        <v>105000</v>
      </c>
      <c r="O35" s="42">
        <f>VLOOKUP(B35,Market_Salary_Benchmarks!$A$1:$G$11,6,FALSE)</f>
        <v>138040</v>
      </c>
      <c r="P35" s="42">
        <f>VLOOKUP(B35,Market_Salary_Benchmarks!$A$1:$G$11,7,FALSE)</f>
        <v>179950</v>
      </c>
      <c r="Q35" s="26">
        <f>H35/O35</f>
        <v>0.6893509127789047</v>
      </c>
      <c r="R35" s="26">
        <f>(H35-N35)/(P35-N35)</f>
        <v>-0.13131420947298197</v>
      </c>
      <c r="S35" s="23" t="str">
        <f>IF(H35 &lt; N35, "Below Market", IF(H35 &gt; P35, "Above Market", "At Market"))</f>
        <v>Below Market</v>
      </c>
      <c r="T35" s="22" t="str">
        <f>B35 &amp; "-" &amp; D35</f>
        <v>Senior Financial Analyst-4</v>
      </c>
      <c r="U35" s="41">
        <f>AVERAGEIFS(H:H, K:K, "Female", B:B, B35, D:D, D35)</f>
        <v>94329.75</v>
      </c>
      <c r="V35" s="41">
        <f>AVERAGEIFS(H:H, K:K, "Male", B:B, B35, D:D, D35)</f>
        <v>94897.166666666672</v>
      </c>
      <c r="W35" s="27">
        <f>(V35-U35)/V35</f>
        <v>5.9792793251643075E-3</v>
      </c>
      <c r="X35" s="23" t="str">
        <f>IF(ABS(W35) &gt;= 0.1, "High Risk",
 IF(ABS(W35) &gt;= 0.05, "Moderate Risk",
 "Low Risk"))</f>
        <v>Low Risk</v>
      </c>
      <c r="Y35" t="str">
        <f>IF(J35&gt;=3,"Yes","No")</f>
        <v>Yes</v>
      </c>
      <c r="Z35">
        <f>IF(TRIM(S35)="Below Market",1,
 IF(TRIM(S35)="At Market",2,
 IF(TRIM(S35)="Above Market",3,0)))</f>
        <v>1</v>
      </c>
      <c r="AA35" s="26" cm="1">
        <f t="array" ref="AA35">IF($Y35&lt;&gt;"Yes",0,INDEX(Merit_Matrix!$B$2:$D$4,MATCH($J35,Merit_Matrix!$A$2:$A$4,0),Z35))</f>
        <v>3.5000000000000003E-2</v>
      </c>
      <c r="AB35" s="41">
        <f>H35*AA35</f>
        <v>3330.53</v>
      </c>
      <c r="AC35" s="41">
        <f>H35+AB35</f>
        <v>98488.53</v>
      </c>
      <c r="AD35" s="26">
        <f>AC35/O35</f>
        <v>0.71347819472616636</v>
      </c>
      <c r="AE3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36" spans="1:31" x14ac:dyDescent="0.3">
      <c r="A36">
        <v>1033</v>
      </c>
      <c r="B36" t="s">
        <v>25</v>
      </c>
      <c r="C36" t="s">
        <v>26</v>
      </c>
      <c r="D36">
        <v>3</v>
      </c>
      <c r="E36" t="s">
        <v>14</v>
      </c>
      <c r="F36" t="s">
        <v>26</v>
      </c>
      <c r="G36" t="s">
        <v>15</v>
      </c>
      <c r="H36" s="41">
        <v>76197</v>
      </c>
      <c r="I36" t="b">
        <v>1</v>
      </c>
      <c r="J36">
        <v>4</v>
      </c>
      <c r="K36" t="s">
        <v>19</v>
      </c>
      <c r="L36" s="1">
        <v>43813</v>
      </c>
      <c r="M36">
        <v>7</v>
      </c>
      <c r="N36" s="42">
        <f>VLOOKUP(B36,Market_Salary_Benchmarks!$A$1:$G$11,5,FALSE)</f>
        <v>49460</v>
      </c>
      <c r="O36" s="42">
        <f>VLOOKUP(B36,Market_Salary_Benchmarks!$A$1:$G$11,6,FALSE)</f>
        <v>78370</v>
      </c>
      <c r="P36" s="42">
        <f>VLOOKUP(B36,Market_Salary_Benchmarks!$A$1:$G$11,7,FALSE)</f>
        <v>104330</v>
      </c>
      <c r="Q36" s="26">
        <f>H36/O36</f>
        <v>0.97227255327293605</v>
      </c>
      <c r="R36" s="26">
        <f>(H36-N36)/(P36-N36)</f>
        <v>0.48727902314561689</v>
      </c>
      <c r="S36" s="23" t="str">
        <f>IF(H36 &lt; N36, "Below Market", IF(H36 &gt; P36, "Above Market", "At Market"))</f>
        <v>At Market</v>
      </c>
      <c r="T36" s="22" t="str">
        <f>B36 &amp; "-" &amp; D36</f>
        <v>Financial Analyst-3</v>
      </c>
      <c r="U36" s="41">
        <f>AVERAGEIFS(H:H, K:K, "Female", B:B, B36, D:D, D36)</f>
        <v>76962.636363636368</v>
      </c>
      <c r="V36" s="41">
        <f>AVERAGEIFS(H:H, K:K, "Male", B:B, B36, D:D, D36)</f>
        <v>77416</v>
      </c>
      <c r="W36" s="27">
        <f>(V36-U36)/V36</f>
        <v>5.8562007383955823E-3</v>
      </c>
      <c r="X36" s="23" t="str">
        <f>IF(ABS(W36) &gt;= 0.1, "High Risk",
 IF(ABS(W36) &gt;= 0.05, "Moderate Risk",
 "Low Risk"))</f>
        <v>Low Risk</v>
      </c>
      <c r="Y36" t="str">
        <f>IF(J36&gt;=3,"Yes","No")</f>
        <v>Yes</v>
      </c>
      <c r="Z36">
        <f>IF(TRIM(S36)="Below Market",1,
 IF(TRIM(S36)="At Market",2,
 IF(TRIM(S36)="Above Market",3,0)))</f>
        <v>2</v>
      </c>
      <c r="AA36" s="26" cm="1">
        <f t="array" ref="AA36">IF($Y36&lt;&gt;"Yes",0,INDEX(Merit_Matrix!$B$2:$D$4,MATCH($J36,Merit_Matrix!$A$2:$A$4,0),Z36))</f>
        <v>0.04</v>
      </c>
      <c r="AB36" s="41">
        <f>H36*AA36</f>
        <v>3047.88</v>
      </c>
      <c r="AC36" s="41">
        <f>H36+AB36</f>
        <v>79244.88</v>
      </c>
      <c r="AD36" s="26">
        <f>AC36/O36</f>
        <v>1.0111634554038536</v>
      </c>
      <c r="AE3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37" spans="1:31" x14ac:dyDescent="0.3">
      <c r="A37">
        <v>1034</v>
      </c>
      <c r="B37" t="s">
        <v>17</v>
      </c>
      <c r="C37" t="s">
        <v>18</v>
      </c>
      <c r="D37">
        <v>2</v>
      </c>
      <c r="E37" t="s">
        <v>14</v>
      </c>
      <c r="F37" t="s">
        <v>18</v>
      </c>
      <c r="G37" t="s">
        <v>15</v>
      </c>
      <c r="H37" s="41">
        <v>62115</v>
      </c>
      <c r="I37" t="b">
        <v>0</v>
      </c>
      <c r="J37">
        <v>3</v>
      </c>
      <c r="K37" t="s">
        <v>19</v>
      </c>
      <c r="L37" s="1">
        <v>42468</v>
      </c>
      <c r="M37">
        <v>10</v>
      </c>
      <c r="N37" s="42">
        <f>VLOOKUP(B37,Market_Salary_Benchmarks!$A$1:$G$11,5,FALSE)</f>
        <v>81130</v>
      </c>
      <c r="O37" s="42">
        <f>VLOOKUP(B37,Market_Salary_Benchmarks!$A$1:$G$11,6,FALSE)</f>
        <v>103730</v>
      </c>
      <c r="P37" s="42">
        <f>VLOOKUP(B37,Market_Salary_Benchmarks!$A$1:$G$11,7,FALSE)</f>
        <v>132670</v>
      </c>
      <c r="Q37" s="26">
        <f>H37/O37</f>
        <v>0.59881422924901184</v>
      </c>
      <c r="R37" s="26">
        <f>(H37-N37)/(P37-N37)</f>
        <v>-0.36893674815677147</v>
      </c>
      <c r="S37" s="23" t="str">
        <f>IF(H37 &lt; N37, "Below Market", IF(H37 &gt; P37, "Above Market", "At Market"))</f>
        <v>Below Market</v>
      </c>
      <c r="T37" s="22" t="str">
        <f>B37 &amp; "-" &amp; D37</f>
        <v>IT Analyst-2</v>
      </c>
      <c r="U37" s="41">
        <f>AVERAGEIFS(H:H, K:K, "Female", B:B, B37, D:D, D37)</f>
        <v>55600.230769230766</v>
      </c>
      <c r="V37" s="41">
        <f>AVERAGEIFS(H:H, K:K, "Male", B:B, B37, D:D, D37)</f>
        <v>58468.727272727272</v>
      </c>
      <c r="W37" s="27">
        <f>(V37-U37)/V37</f>
        <v>4.9060354779340579E-2</v>
      </c>
      <c r="X37" s="23" t="str">
        <f>IF(ABS(W37) &gt;= 0.1, "High Risk",
 IF(ABS(W37) &gt;= 0.05, "Moderate Risk",
 "Low Risk"))</f>
        <v>Low Risk</v>
      </c>
      <c r="Y37" t="str">
        <f>IF(J37&gt;=3,"Yes","No")</f>
        <v>Yes</v>
      </c>
      <c r="Z37">
        <f>IF(TRIM(S37)="Below Market",1,
 IF(TRIM(S37)="At Market",2,
 IF(TRIM(S37)="Above Market",3,0)))</f>
        <v>1</v>
      </c>
      <c r="AA37" s="26" cm="1">
        <f t="array" ref="AA37">IF($Y37&lt;&gt;"Yes",0,INDEX(Merit_Matrix!$B$2:$D$4,MATCH($J37,Merit_Matrix!$A$2:$A$4,0),Z37))</f>
        <v>3.5000000000000003E-2</v>
      </c>
      <c r="AB37" s="41">
        <f>H37*AA37</f>
        <v>2174.0250000000001</v>
      </c>
      <c r="AC37" s="41">
        <f>H37+AB37</f>
        <v>64289.025000000001</v>
      </c>
      <c r="AD37" s="26">
        <f>AC37/O37</f>
        <v>0.61977272727272725</v>
      </c>
      <c r="AE37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38" spans="1:31" x14ac:dyDescent="0.3">
      <c r="A38">
        <v>1035</v>
      </c>
      <c r="B38" t="s">
        <v>28</v>
      </c>
      <c r="C38" t="s">
        <v>24</v>
      </c>
      <c r="D38">
        <v>3</v>
      </c>
      <c r="E38" t="s">
        <v>14</v>
      </c>
      <c r="F38" t="s">
        <v>24</v>
      </c>
      <c r="G38" t="s">
        <v>15</v>
      </c>
      <c r="H38" s="41">
        <v>74973</v>
      </c>
      <c r="I38" t="b">
        <v>1</v>
      </c>
      <c r="J38">
        <v>4</v>
      </c>
      <c r="K38" t="s">
        <v>16</v>
      </c>
      <c r="L38" s="1">
        <v>43326</v>
      </c>
      <c r="M38">
        <v>10</v>
      </c>
      <c r="N38" s="42">
        <f>VLOOKUP(B38,Market_Salary_Benchmarks!$A$1:$G$11,5,FALSE)</f>
        <v>50970</v>
      </c>
      <c r="O38" s="42">
        <f>VLOOKUP(B38,Market_Salary_Benchmarks!$A$1:$G$11,6,FALSE)</f>
        <v>56720</v>
      </c>
      <c r="P38" s="42">
        <f>VLOOKUP(B38,Market_Salary_Benchmarks!$A$1:$G$11,7,FALSE)</f>
        <v>75360</v>
      </c>
      <c r="Q38" s="26">
        <f>H38/O38</f>
        <v>1.321808885754584</v>
      </c>
      <c r="R38" s="26">
        <f>(H38-N38)/(P38-N38)</f>
        <v>0.98413284132841328</v>
      </c>
      <c r="S38" s="23" t="str">
        <f>IF(H38 &lt; N38, "Below Market", IF(H38 &gt; P38, "Above Market", "At Market"))</f>
        <v>At Market</v>
      </c>
      <c r="T38" s="22" t="str">
        <f>B38 &amp; "-" &amp; D38</f>
        <v>Compensation Analyst-3</v>
      </c>
      <c r="U38" s="41">
        <f>AVERAGEIFS(H:H, K:K, "Female", B:B, B38, D:D, D38)</f>
        <v>76621.166666666672</v>
      </c>
      <c r="V38" s="41">
        <f>AVERAGEIFS(H:H, K:K, "Male", B:B, B38, D:D, D38)</f>
        <v>77763.875</v>
      </c>
      <c r="W38" s="27">
        <f>(V38-U38)/V38</f>
        <v>1.4694590943845436E-2</v>
      </c>
      <c r="X38" s="23" t="str">
        <f>IF(ABS(W38) &gt;= 0.1, "High Risk",
 IF(ABS(W38) &gt;= 0.05, "Moderate Risk",
 "Low Risk"))</f>
        <v>Low Risk</v>
      </c>
      <c r="Y38" t="str">
        <f>IF(J38&gt;=3,"Yes","No")</f>
        <v>Yes</v>
      </c>
      <c r="Z38">
        <f>IF(TRIM(S38)="Below Market",1,
 IF(TRIM(S38)="At Market",2,
 IF(TRIM(S38)="Above Market",3,0)))</f>
        <v>2</v>
      </c>
      <c r="AA38" s="26" cm="1">
        <f t="array" ref="AA38">IF($Y38&lt;&gt;"Yes",0,INDEX(Merit_Matrix!$B$2:$D$4,MATCH($J38,Merit_Matrix!$A$2:$A$4,0),Z38))</f>
        <v>0.04</v>
      </c>
      <c r="AB38" s="41">
        <f>H38*AA38</f>
        <v>2998.92</v>
      </c>
      <c r="AC38" s="41">
        <f>H38+AB38</f>
        <v>77971.92</v>
      </c>
      <c r="AD38" s="26">
        <f>AC38/O38</f>
        <v>1.3746812411847673</v>
      </c>
      <c r="AE38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39" spans="1:31" x14ac:dyDescent="0.3">
      <c r="A39">
        <v>1036</v>
      </c>
      <c r="B39" t="s">
        <v>25</v>
      </c>
      <c r="C39" t="s">
        <v>26</v>
      </c>
      <c r="D39">
        <v>3</v>
      </c>
      <c r="E39" t="s">
        <v>14</v>
      </c>
      <c r="F39" t="s">
        <v>26</v>
      </c>
      <c r="G39" t="s">
        <v>15</v>
      </c>
      <c r="H39" s="41">
        <v>75699</v>
      </c>
      <c r="I39" t="b">
        <v>1</v>
      </c>
      <c r="J39">
        <v>3</v>
      </c>
      <c r="K39" t="s">
        <v>16</v>
      </c>
      <c r="L39" s="1">
        <v>43528</v>
      </c>
      <c r="M39">
        <v>4</v>
      </c>
      <c r="N39" s="42">
        <f>VLOOKUP(B39,Market_Salary_Benchmarks!$A$1:$G$11,5,FALSE)</f>
        <v>49460</v>
      </c>
      <c r="O39" s="42">
        <f>VLOOKUP(B39,Market_Salary_Benchmarks!$A$1:$G$11,6,FALSE)</f>
        <v>78370</v>
      </c>
      <c r="P39" s="42">
        <f>VLOOKUP(B39,Market_Salary_Benchmarks!$A$1:$G$11,7,FALSE)</f>
        <v>104330</v>
      </c>
      <c r="Q39" s="26">
        <f>H39/O39</f>
        <v>0.96591808089830289</v>
      </c>
      <c r="R39" s="26">
        <f>(H39-N39)/(P39-N39)</f>
        <v>0.47820302533260434</v>
      </c>
      <c r="S39" s="23" t="str">
        <f>IF(H39 &lt; N39, "Below Market", IF(H39 &gt; P39, "Above Market", "At Market"))</f>
        <v>At Market</v>
      </c>
      <c r="T39" s="22" t="str">
        <f>B39 &amp; "-" &amp; D39</f>
        <v>Financial Analyst-3</v>
      </c>
      <c r="U39" s="41">
        <f>AVERAGEIFS(H:H, K:K, "Female", B:B, B39, D:D, D39)</f>
        <v>76962.636363636368</v>
      </c>
      <c r="V39" s="41">
        <f>AVERAGEIFS(H:H, K:K, "Male", B:B, B39, D:D, D39)</f>
        <v>77416</v>
      </c>
      <c r="W39" s="27">
        <f>(V39-U39)/V39</f>
        <v>5.8562007383955823E-3</v>
      </c>
      <c r="X39" s="23" t="str">
        <f>IF(ABS(W39) &gt;= 0.1, "High Risk",
 IF(ABS(W39) &gt;= 0.05, "Moderate Risk",
 "Low Risk"))</f>
        <v>Low Risk</v>
      </c>
      <c r="Y39" t="str">
        <f>IF(J39&gt;=3,"Yes","No")</f>
        <v>Yes</v>
      </c>
      <c r="Z39">
        <f>IF(TRIM(S39)="Below Market",1,
 IF(TRIM(S39)="At Market",2,
 IF(TRIM(S39)="Above Market",3,0)))</f>
        <v>2</v>
      </c>
      <c r="AA39" s="26" cm="1">
        <f t="array" ref="AA39">IF($Y39&lt;&gt;"Yes",0,INDEX(Merit_Matrix!$B$2:$D$4,MATCH($J39,Merit_Matrix!$A$2:$A$4,0),Z39))</f>
        <v>0.03</v>
      </c>
      <c r="AB39" s="41">
        <f>H39*AA39</f>
        <v>2270.9699999999998</v>
      </c>
      <c r="AC39" s="41">
        <f>H39+AB39</f>
        <v>77969.97</v>
      </c>
      <c r="AD39" s="26">
        <f>AC39/O39</f>
        <v>0.99489562332525205</v>
      </c>
      <c r="AE3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0" spans="1:31" x14ac:dyDescent="0.3">
      <c r="A40">
        <v>1037</v>
      </c>
      <c r="B40" t="s">
        <v>29</v>
      </c>
      <c r="C40" t="s">
        <v>24</v>
      </c>
      <c r="D40">
        <v>2</v>
      </c>
      <c r="E40" t="s">
        <v>14</v>
      </c>
      <c r="F40" t="s">
        <v>24</v>
      </c>
      <c r="G40" t="s">
        <v>15</v>
      </c>
      <c r="H40" s="41">
        <v>54735</v>
      </c>
      <c r="I40" t="b">
        <v>0</v>
      </c>
      <c r="J40">
        <v>3</v>
      </c>
      <c r="K40" t="s">
        <v>16</v>
      </c>
      <c r="L40" s="1">
        <v>43415</v>
      </c>
      <c r="M40">
        <v>7</v>
      </c>
      <c r="N40" s="42">
        <f>VLOOKUP(B40,Market_Salary_Benchmarks!$A$1:$G$11,5,FALSE)</f>
        <v>48890</v>
      </c>
      <c r="O40" s="42">
        <f>VLOOKUP(B40,Market_Salary_Benchmarks!$A$1:$G$11,6,FALSE)</f>
        <v>62770</v>
      </c>
      <c r="P40" s="42">
        <f>VLOOKUP(B40,Market_Salary_Benchmarks!$A$1:$G$11,7,FALSE)</f>
        <v>82990</v>
      </c>
      <c r="Q40" s="26">
        <f>H40/O40</f>
        <v>0.87199299028198185</v>
      </c>
      <c r="R40" s="26">
        <f>(H40-N40)/(P40-N40)</f>
        <v>0.17140762463343109</v>
      </c>
      <c r="S40" s="23" t="str">
        <f>IF(H40 &lt; N40, "Below Market", IF(H40 &gt; P40, "Above Market", "At Market"))</f>
        <v>At Market</v>
      </c>
      <c r="T40" s="22" t="str">
        <f>B40 &amp; "-" &amp; D40</f>
        <v>HR Analyst-2</v>
      </c>
      <c r="U40" s="41">
        <f>AVERAGEIFS(H:H, K:K, "Female", B:B, B40, D:D, D40)</f>
        <v>56635.5</v>
      </c>
      <c r="V40" s="41">
        <f>AVERAGEIFS(H:H, K:K, "Male", B:B, B40, D:D, D40)</f>
        <v>59544.4</v>
      </c>
      <c r="W40" s="27">
        <f>(V40-U40)/V40</f>
        <v>4.8852620901377819E-2</v>
      </c>
      <c r="X40" s="23" t="str">
        <f>IF(ABS(W40) &gt;= 0.1, "High Risk",
 IF(ABS(W40) &gt;= 0.05, "Moderate Risk",
 "Low Risk"))</f>
        <v>Low Risk</v>
      </c>
      <c r="Y40" t="str">
        <f>IF(J40&gt;=3,"Yes","No")</f>
        <v>Yes</v>
      </c>
      <c r="Z40">
        <f>IF(TRIM(S40)="Below Market",1,
 IF(TRIM(S40)="At Market",2,
 IF(TRIM(S40)="Above Market",3,0)))</f>
        <v>2</v>
      </c>
      <c r="AA40" s="26" cm="1">
        <f t="array" ref="AA40">IF($Y40&lt;&gt;"Yes",0,INDEX(Merit_Matrix!$B$2:$D$4,MATCH($J40,Merit_Matrix!$A$2:$A$4,0),Z40))</f>
        <v>0.03</v>
      </c>
      <c r="AB40" s="41">
        <f>H40*AA40</f>
        <v>1642.05</v>
      </c>
      <c r="AC40" s="41">
        <f>H40+AB40</f>
        <v>56377.05</v>
      </c>
      <c r="AD40" s="26">
        <f>AC40/O40</f>
        <v>0.8981527799904413</v>
      </c>
      <c r="AE4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1" spans="1:31" x14ac:dyDescent="0.3">
      <c r="A41">
        <v>1038</v>
      </c>
      <c r="B41" t="s">
        <v>20</v>
      </c>
      <c r="C41" t="s">
        <v>13</v>
      </c>
      <c r="D41">
        <v>3</v>
      </c>
      <c r="E41" t="s">
        <v>21</v>
      </c>
      <c r="F41" t="s">
        <v>13</v>
      </c>
      <c r="G41" t="s">
        <v>15</v>
      </c>
      <c r="H41" s="41">
        <v>78754</v>
      </c>
      <c r="I41" t="b">
        <v>1</v>
      </c>
      <c r="J41">
        <v>5</v>
      </c>
      <c r="K41" t="s">
        <v>19</v>
      </c>
      <c r="L41" s="1">
        <v>42595</v>
      </c>
      <c r="M41">
        <v>6</v>
      </c>
      <c r="N41" s="42">
        <f>VLOOKUP(B41,Market_Salary_Benchmarks!$A$1:$G$11,5,FALSE)</f>
        <v>52500</v>
      </c>
      <c r="O41" s="42">
        <f>VLOOKUP(B41,Market_Salary_Benchmarks!$A$1:$G$11,6,FALSE)</f>
        <v>67210</v>
      </c>
      <c r="P41" s="42">
        <f>VLOOKUP(B41,Market_Salary_Benchmarks!$A$1:$G$11,7,FALSE)</f>
        <v>83970</v>
      </c>
      <c r="Q41" s="26">
        <f>H41/O41</f>
        <v>1.1717601547388781</v>
      </c>
      <c r="R41" s="26">
        <f>(H41-N41)/(P41-N41)</f>
        <v>0.83425484588496979</v>
      </c>
      <c r="S41" s="23" t="str">
        <f>IF(H41 &lt; N41, "Below Market", IF(H41 &gt; P41, "Above Market", "At Market"))</f>
        <v>At Market</v>
      </c>
      <c r="T41" s="22" t="str">
        <f>B41 &amp; "-" &amp; D41</f>
        <v>Operations Supervisor-3</v>
      </c>
      <c r="U41" s="41">
        <f>AVERAGEIFS(H:H, K:K, "Female", B:B, B41, D:D, D41)</f>
        <v>79072.21428571429</v>
      </c>
      <c r="V41" s="41">
        <f>AVERAGEIFS(H:H, K:K, "Male", B:B, B41, D:D, D41)</f>
        <v>76780.28571428571</v>
      </c>
      <c r="W41" s="27">
        <f>(V41-U41)/V41</f>
        <v>-2.9850482452713045E-2</v>
      </c>
      <c r="X41" s="23" t="str">
        <f>IF(ABS(W41) &gt;= 0.1, "High Risk",
 IF(ABS(W41) &gt;= 0.05, "Moderate Risk",
 "Low Risk"))</f>
        <v>Low Risk</v>
      </c>
      <c r="Y41" t="str">
        <f>IF(J41&gt;=3,"Yes","No")</f>
        <v>Yes</v>
      </c>
      <c r="Z41">
        <f>IF(TRIM(S41)="Below Market",1,
 IF(TRIM(S41)="At Market",2,
 IF(TRIM(S41)="Above Market",3,0)))</f>
        <v>2</v>
      </c>
      <c r="AA41" s="26" cm="1">
        <f t="array" ref="AA41">IF($Y41&lt;&gt;"Yes",0,INDEX(Merit_Matrix!$B$2:$D$4,MATCH($J41,Merit_Matrix!$A$2:$A$4,0),Z41))</f>
        <v>0.05</v>
      </c>
      <c r="AB41" s="41">
        <f>H41*AA41</f>
        <v>3937.7000000000003</v>
      </c>
      <c r="AC41" s="41">
        <f>H41+AB41</f>
        <v>82691.7</v>
      </c>
      <c r="AD41" s="26">
        <f>AC41/O41</f>
        <v>1.2303481624758219</v>
      </c>
      <c r="AE4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2" spans="1:31" x14ac:dyDescent="0.3">
      <c r="A42">
        <v>1039</v>
      </c>
      <c r="B42" t="s">
        <v>29</v>
      </c>
      <c r="C42" t="s">
        <v>24</v>
      </c>
      <c r="D42">
        <v>2</v>
      </c>
      <c r="E42" t="s">
        <v>14</v>
      </c>
      <c r="F42" t="s">
        <v>24</v>
      </c>
      <c r="G42" t="s">
        <v>15</v>
      </c>
      <c r="H42" s="41">
        <v>64619</v>
      </c>
      <c r="I42" t="b">
        <v>0</v>
      </c>
      <c r="J42">
        <v>4</v>
      </c>
      <c r="K42" t="s">
        <v>16</v>
      </c>
      <c r="L42" s="1">
        <v>43185</v>
      </c>
      <c r="M42">
        <v>4</v>
      </c>
      <c r="N42" s="42">
        <f>VLOOKUP(B42,Market_Salary_Benchmarks!$A$1:$G$11,5,FALSE)</f>
        <v>48890</v>
      </c>
      <c r="O42" s="42">
        <f>VLOOKUP(B42,Market_Salary_Benchmarks!$A$1:$G$11,6,FALSE)</f>
        <v>62770</v>
      </c>
      <c r="P42" s="42">
        <f>VLOOKUP(B42,Market_Salary_Benchmarks!$A$1:$G$11,7,FALSE)</f>
        <v>82990</v>
      </c>
      <c r="Q42" s="26">
        <f>H42/O42</f>
        <v>1.0294567468535925</v>
      </c>
      <c r="R42" s="26">
        <f>(H42-N42)/(P42-N42)</f>
        <v>0.46126099706744866</v>
      </c>
      <c r="S42" s="23" t="str">
        <f>IF(H42 &lt; N42, "Below Market", IF(H42 &gt; P42, "Above Market", "At Market"))</f>
        <v>At Market</v>
      </c>
      <c r="T42" s="22" t="str">
        <f>B42 &amp; "-" &amp; D42</f>
        <v>HR Analyst-2</v>
      </c>
      <c r="U42" s="41">
        <f>AVERAGEIFS(H:H, K:K, "Female", B:B, B42, D:D, D42)</f>
        <v>56635.5</v>
      </c>
      <c r="V42" s="41">
        <f>AVERAGEIFS(H:H, K:K, "Male", B:B, B42, D:D, D42)</f>
        <v>59544.4</v>
      </c>
      <c r="W42" s="27">
        <f>(V42-U42)/V42</f>
        <v>4.8852620901377819E-2</v>
      </c>
      <c r="X42" s="23" t="str">
        <f>IF(ABS(W42) &gt;= 0.1, "High Risk",
 IF(ABS(W42) &gt;= 0.05, "Moderate Risk",
 "Low Risk"))</f>
        <v>Low Risk</v>
      </c>
      <c r="Y42" t="str">
        <f>IF(J42&gt;=3,"Yes","No")</f>
        <v>Yes</v>
      </c>
      <c r="Z42">
        <f>IF(TRIM(S42)="Below Market",1,
 IF(TRIM(S42)="At Market",2,
 IF(TRIM(S42)="Above Market",3,0)))</f>
        <v>2</v>
      </c>
      <c r="AA42" s="26" cm="1">
        <f t="array" ref="AA42">IF($Y42&lt;&gt;"Yes",0,INDEX(Merit_Matrix!$B$2:$D$4,MATCH($J42,Merit_Matrix!$A$2:$A$4,0),Z42))</f>
        <v>0.04</v>
      </c>
      <c r="AB42" s="41">
        <f>H42*AA42</f>
        <v>2584.7600000000002</v>
      </c>
      <c r="AC42" s="41">
        <f>H42+AB42</f>
        <v>67203.759999999995</v>
      </c>
      <c r="AD42" s="26">
        <f>AC42/O42</f>
        <v>1.0706350167277361</v>
      </c>
      <c r="AE4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3" spans="1:31" x14ac:dyDescent="0.3">
      <c r="A43">
        <v>1040</v>
      </c>
      <c r="B43" t="s">
        <v>25</v>
      </c>
      <c r="C43" t="s">
        <v>26</v>
      </c>
      <c r="D43">
        <v>3</v>
      </c>
      <c r="E43" t="s">
        <v>14</v>
      </c>
      <c r="F43" t="s">
        <v>26</v>
      </c>
      <c r="G43" t="s">
        <v>15</v>
      </c>
      <c r="H43" s="41">
        <v>83503</v>
      </c>
      <c r="I43" t="b">
        <v>1</v>
      </c>
      <c r="J43">
        <v>1</v>
      </c>
      <c r="K43" t="s">
        <v>16</v>
      </c>
      <c r="L43" s="1">
        <v>43613</v>
      </c>
      <c r="M43">
        <v>14</v>
      </c>
      <c r="N43" s="42">
        <f>VLOOKUP(B43,Market_Salary_Benchmarks!$A$1:$G$11,5,FALSE)</f>
        <v>49460</v>
      </c>
      <c r="O43" s="42">
        <f>VLOOKUP(B43,Market_Salary_Benchmarks!$A$1:$G$11,6,FALSE)</f>
        <v>78370</v>
      </c>
      <c r="P43" s="42">
        <f>VLOOKUP(B43,Market_Salary_Benchmarks!$A$1:$G$11,7,FALSE)</f>
        <v>104330</v>
      </c>
      <c r="Q43" s="26">
        <f>H43/O43</f>
        <v>1.0654970014035983</v>
      </c>
      <c r="R43" s="26">
        <f>(H43-N43)/(P43-N43)</f>
        <v>0.62043010752688177</v>
      </c>
      <c r="S43" s="23" t="str">
        <f>IF(H43 &lt; N43, "Below Market", IF(H43 &gt; P43, "Above Market", "At Market"))</f>
        <v>At Market</v>
      </c>
      <c r="T43" s="22" t="str">
        <f>B43 &amp; "-" &amp; D43</f>
        <v>Financial Analyst-3</v>
      </c>
      <c r="U43" s="41">
        <f>AVERAGEIFS(H:H, K:K, "Female", B:B, B43, D:D, D43)</f>
        <v>76962.636363636368</v>
      </c>
      <c r="V43" s="41">
        <f>AVERAGEIFS(H:H, K:K, "Male", B:B, B43, D:D, D43)</f>
        <v>77416</v>
      </c>
      <c r="W43" s="27">
        <f>(V43-U43)/V43</f>
        <v>5.8562007383955823E-3</v>
      </c>
      <c r="X43" s="23" t="str">
        <f>IF(ABS(W43) &gt;= 0.1, "High Risk",
 IF(ABS(W43) &gt;= 0.05, "Moderate Risk",
 "Low Risk"))</f>
        <v>Low Risk</v>
      </c>
      <c r="Y43" t="str">
        <f>IF(J43&gt;=3,"Yes","No")</f>
        <v>No</v>
      </c>
      <c r="Z43">
        <f>IF(TRIM(S43)="Below Market",1,
 IF(TRIM(S43)="At Market",2,
 IF(TRIM(S43)="Above Market",3,0)))</f>
        <v>2</v>
      </c>
      <c r="AA43" s="26" cm="1">
        <f t="array" ref="AA43">IF($Y43&lt;&gt;"Yes",0,INDEX(Merit_Matrix!$B$2:$D$4,MATCH($J43,Merit_Matrix!$A$2:$A$4,0),Z43))</f>
        <v>0</v>
      </c>
      <c r="AB43" s="41">
        <f>H43*AA43</f>
        <v>0</v>
      </c>
      <c r="AC43" s="41">
        <f>H43+AB43</f>
        <v>83503</v>
      </c>
      <c r="AD43" s="26">
        <f>AC43/O43</f>
        <v>1.0654970014035983</v>
      </c>
      <c r="AE4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4" spans="1:31" x14ac:dyDescent="0.3">
      <c r="A44">
        <v>1041</v>
      </c>
      <c r="B44" t="s">
        <v>27</v>
      </c>
      <c r="C44" t="s">
        <v>26</v>
      </c>
      <c r="D44">
        <v>4</v>
      </c>
      <c r="E44" t="s">
        <v>14</v>
      </c>
      <c r="F44" t="s">
        <v>26</v>
      </c>
      <c r="G44" t="s">
        <v>15</v>
      </c>
      <c r="H44" s="41">
        <v>89060</v>
      </c>
      <c r="I44" t="b">
        <v>1</v>
      </c>
      <c r="J44">
        <v>5</v>
      </c>
      <c r="K44" t="s">
        <v>19</v>
      </c>
      <c r="L44" s="1">
        <v>42671</v>
      </c>
      <c r="M44">
        <v>6</v>
      </c>
      <c r="N44" s="42">
        <f>VLOOKUP(B44,Market_Salary_Benchmarks!$A$1:$G$11,5,FALSE)</f>
        <v>105000</v>
      </c>
      <c r="O44" s="42">
        <f>VLOOKUP(B44,Market_Salary_Benchmarks!$A$1:$G$11,6,FALSE)</f>
        <v>138040</v>
      </c>
      <c r="P44" s="42">
        <f>VLOOKUP(B44,Market_Salary_Benchmarks!$A$1:$G$11,7,FALSE)</f>
        <v>179950</v>
      </c>
      <c r="Q44" s="26">
        <f>H44/O44</f>
        <v>0.64517531150391194</v>
      </c>
      <c r="R44" s="26">
        <f>(H44-N44)/(P44-N44)</f>
        <v>-0.21267511674449632</v>
      </c>
      <c r="S44" s="23" t="str">
        <f>IF(H44 &lt; N44, "Below Market", IF(H44 &gt; P44, "Above Market", "At Market"))</f>
        <v>Below Market</v>
      </c>
      <c r="T44" s="22" t="str">
        <f>B44 &amp; "-" &amp; D44</f>
        <v>Senior Financial Analyst-4</v>
      </c>
      <c r="U44" s="41">
        <f>AVERAGEIFS(H:H, K:K, "Female", B:B, B44, D:D, D44)</f>
        <v>94329.75</v>
      </c>
      <c r="V44" s="41">
        <f>AVERAGEIFS(H:H, K:K, "Male", B:B, B44, D:D, D44)</f>
        <v>94897.166666666672</v>
      </c>
      <c r="W44" s="27">
        <f>(V44-U44)/V44</f>
        <v>5.9792793251643075E-3</v>
      </c>
      <c r="X44" s="23" t="str">
        <f>IF(ABS(W44) &gt;= 0.1, "High Risk",
 IF(ABS(W44) &gt;= 0.05, "Moderate Risk",
 "Low Risk"))</f>
        <v>Low Risk</v>
      </c>
      <c r="Y44" t="str">
        <f>IF(J44&gt;=3,"Yes","No")</f>
        <v>Yes</v>
      </c>
      <c r="Z44">
        <f>IF(TRIM(S44)="Below Market",1,
 IF(TRIM(S44)="At Market",2,
 IF(TRIM(S44)="Above Market",3,0)))</f>
        <v>1</v>
      </c>
      <c r="AA44" s="26" cm="1">
        <f t="array" ref="AA44">IF($Y44&lt;&gt;"Yes",0,INDEX(Merit_Matrix!$B$2:$D$4,MATCH($J44,Merit_Matrix!$A$2:$A$4,0),Z44))</f>
        <v>0.06</v>
      </c>
      <c r="AB44" s="41">
        <f>H44*AA44</f>
        <v>5343.5999999999995</v>
      </c>
      <c r="AC44" s="41">
        <f>H44+AB44</f>
        <v>94403.6</v>
      </c>
      <c r="AD44" s="26">
        <f>AC44/O44</f>
        <v>0.68388583019414662</v>
      </c>
      <c r="AE44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45" spans="1:31" x14ac:dyDescent="0.3">
      <c r="A45">
        <v>1042</v>
      </c>
      <c r="B45" t="s">
        <v>30</v>
      </c>
      <c r="C45" t="s">
        <v>24</v>
      </c>
      <c r="D45">
        <v>2</v>
      </c>
      <c r="E45" t="s">
        <v>21</v>
      </c>
      <c r="F45" t="s">
        <v>24</v>
      </c>
      <c r="G45" t="s">
        <v>15</v>
      </c>
      <c r="H45" s="41">
        <v>50699</v>
      </c>
      <c r="I45" t="b">
        <v>0</v>
      </c>
      <c r="J45">
        <v>3</v>
      </c>
      <c r="K45" t="s">
        <v>16</v>
      </c>
      <c r="L45" s="1">
        <v>44376</v>
      </c>
      <c r="M45">
        <v>2</v>
      </c>
      <c r="N45" s="42">
        <f>VLOOKUP(B45,Market_Salary_Benchmarks!$A$1:$G$11,5,FALSE)</f>
        <v>37930</v>
      </c>
      <c r="O45" s="42">
        <f>VLOOKUP(B45,Market_Salary_Benchmarks!$A$1:$G$11,6,FALSE)</f>
        <v>45470</v>
      </c>
      <c r="P45" s="42">
        <f>VLOOKUP(B45,Market_Salary_Benchmarks!$A$1:$G$11,7,FALSE)</f>
        <v>54160</v>
      </c>
      <c r="Q45" s="26">
        <f>H45/O45</f>
        <v>1.1149989003738729</v>
      </c>
      <c r="R45" s="26">
        <f>(H45-N45)/(P45-N45)</f>
        <v>0.78675292667898955</v>
      </c>
      <c r="S45" s="23" t="str">
        <f>IF(H45 &lt; N45, "Below Market", IF(H45 &gt; P45, "Above Market", "At Market"))</f>
        <v>At Market</v>
      </c>
      <c r="T45" s="22" t="str">
        <f>B45 &amp; "-" &amp; D45</f>
        <v>Payroll Specialist-2</v>
      </c>
      <c r="U45" s="41">
        <f>AVERAGEIFS(H:H, K:K, "Female", B:B, B45, D:D, D45)</f>
        <v>58334.555555555555</v>
      </c>
      <c r="V45" s="41">
        <f>AVERAGEIFS(H:H, K:K, "Male", B:B, B45, D:D, D45)</f>
        <v>56264.5</v>
      </c>
      <c r="W45" s="27">
        <f>(V45-U45)/V45</f>
        <v>-3.6791503622276123E-2</v>
      </c>
      <c r="X45" s="23" t="str">
        <f>IF(ABS(W45) &gt;= 0.1, "High Risk",
 IF(ABS(W45) &gt;= 0.05, "Moderate Risk",
 "Low Risk"))</f>
        <v>Low Risk</v>
      </c>
      <c r="Y45" t="str">
        <f>IF(J45&gt;=3,"Yes","No")</f>
        <v>Yes</v>
      </c>
      <c r="Z45">
        <f>IF(TRIM(S45)="Below Market",1,
 IF(TRIM(S45)="At Market",2,
 IF(TRIM(S45)="Above Market",3,0)))</f>
        <v>2</v>
      </c>
      <c r="AA45" s="26" cm="1">
        <f t="array" ref="AA45">IF($Y45&lt;&gt;"Yes",0,INDEX(Merit_Matrix!$B$2:$D$4,MATCH($J45,Merit_Matrix!$A$2:$A$4,0),Z45))</f>
        <v>0.03</v>
      </c>
      <c r="AB45" s="41">
        <f>H45*AA45</f>
        <v>1520.97</v>
      </c>
      <c r="AC45" s="41">
        <f>H45+AB45</f>
        <v>52219.97</v>
      </c>
      <c r="AD45" s="26">
        <f>AC45/O45</f>
        <v>1.148448867385089</v>
      </c>
      <c r="AE4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6" spans="1:31" x14ac:dyDescent="0.3">
      <c r="A46">
        <v>1043</v>
      </c>
      <c r="B46" t="s">
        <v>30</v>
      </c>
      <c r="C46" t="s">
        <v>24</v>
      </c>
      <c r="D46">
        <v>2</v>
      </c>
      <c r="E46" t="s">
        <v>21</v>
      </c>
      <c r="F46" t="s">
        <v>24</v>
      </c>
      <c r="G46" t="s">
        <v>15</v>
      </c>
      <c r="H46" s="41">
        <v>58319</v>
      </c>
      <c r="I46" t="b">
        <v>0</v>
      </c>
      <c r="J46">
        <v>3</v>
      </c>
      <c r="K46" t="s">
        <v>16</v>
      </c>
      <c r="L46" s="1">
        <v>42939</v>
      </c>
      <c r="M46">
        <v>4</v>
      </c>
      <c r="N46" s="42">
        <f>VLOOKUP(B46,Market_Salary_Benchmarks!$A$1:$G$11,5,FALSE)</f>
        <v>37930</v>
      </c>
      <c r="O46" s="42">
        <f>VLOOKUP(B46,Market_Salary_Benchmarks!$A$1:$G$11,6,FALSE)</f>
        <v>45470</v>
      </c>
      <c r="P46" s="42">
        <f>VLOOKUP(B46,Market_Salary_Benchmarks!$A$1:$G$11,7,FALSE)</f>
        <v>54160</v>
      </c>
      <c r="Q46" s="26">
        <f>H46/O46</f>
        <v>1.2825819221464703</v>
      </c>
      <c r="R46" s="26">
        <f>(H46-N46)/(P46-N46)</f>
        <v>1.2562538508934074</v>
      </c>
      <c r="S46" s="23" t="str">
        <f>IF(H46 &lt; N46, "Below Market", IF(H46 &gt; P46, "Above Market", "At Market"))</f>
        <v>Above Market</v>
      </c>
      <c r="T46" s="22" t="str">
        <f>B46 &amp; "-" &amp; D46</f>
        <v>Payroll Specialist-2</v>
      </c>
      <c r="U46" s="41">
        <f>AVERAGEIFS(H:H, K:K, "Female", B:B, B46, D:D, D46)</f>
        <v>58334.555555555555</v>
      </c>
      <c r="V46" s="41">
        <f>AVERAGEIFS(H:H, K:K, "Male", B:B, B46, D:D, D46)</f>
        <v>56264.5</v>
      </c>
      <c r="W46" s="27">
        <f>(V46-U46)/V46</f>
        <v>-3.6791503622276123E-2</v>
      </c>
      <c r="X46" s="23" t="str">
        <f>IF(ABS(W46) &gt;= 0.1, "High Risk",
 IF(ABS(W46) &gt;= 0.05, "Moderate Risk",
 "Low Risk"))</f>
        <v>Low Risk</v>
      </c>
      <c r="Y46" t="str">
        <f>IF(J46&gt;=3,"Yes","No")</f>
        <v>Yes</v>
      </c>
      <c r="Z46">
        <f>IF(TRIM(S46)="Below Market",1,
 IF(TRIM(S46)="At Market",2,
 IF(TRIM(S46)="Above Market",3,0)))</f>
        <v>3</v>
      </c>
      <c r="AA46" s="26" cm="1">
        <f t="array" ref="AA46">IF($Y46&lt;&gt;"Yes",0,INDEX(Merit_Matrix!$B$2:$D$4,MATCH($J46,Merit_Matrix!$A$2:$A$4,0),Z46))</f>
        <v>0.02</v>
      </c>
      <c r="AB46" s="41">
        <f>H46*AA46</f>
        <v>1166.3800000000001</v>
      </c>
      <c r="AC46" s="41">
        <f>H46+AB46</f>
        <v>59485.38</v>
      </c>
      <c r="AD46" s="26">
        <f>AC46/O46</f>
        <v>1.3082335605893995</v>
      </c>
      <c r="AE46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47" spans="1:31" x14ac:dyDescent="0.3">
      <c r="A47">
        <v>1044</v>
      </c>
      <c r="B47" t="s">
        <v>17</v>
      </c>
      <c r="C47" t="s">
        <v>18</v>
      </c>
      <c r="D47">
        <v>2</v>
      </c>
      <c r="E47" t="s">
        <v>14</v>
      </c>
      <c r="F47" t="s">
        <v>18</v>
      </c>
      <c r="G47" t="s">
        <v>15</v>
      </c>
      <c r="H47" s="41">
        <v>52733</v>
      </c>
      <c r="I47" t="b">
        <v>0</v>
      </c>
      <c r="J47">
        <v>3</v>
      </c>
      <c r="K47" t="s">
        <v>16</v>
      </c>
      <c r="L47" s="1">
        <v>44056</v>
      </c>
      <c r="M47">
        <v>3</v>
      </c>
      <c r="N47" s="42">
        <f>VLOOKUP(B47,Market_Salary_Benchmarks!$A$1:$G$11,5,FALSE)</f>
        <v>81130</v>
      </c>
      <c r="O47" s="42">
        <f>VLOOKUP(B47,Market_Salary_Benchmarks!$A$1:$G$11,6,FALSE)</f>
        <v>103730</v>
      </c>
      <c r="P47" s="42">
        <f>VLOOKUP(B47,Market_Salary_Benchmarks!$A$1:$G$11,7,FALSE)</f>
        <v>132670</v>
      </c>
      <c r="Q47" s="26">
        <f>H47/O47</f>
        <v>0.50836787814518458</v>
      </c>
      <c r="R47" s="26">
        <f>(H47-N47)/(P47-N47)</f>
        <v>-0.55097012029491654</v>
      </c>
      <c r="S47" s="23" t="str">
        <f>IF(H47 &lt; N47, "Below Market", IF(H47 &gt; P47, "Above Market", "At Market"))</f>
        <v>Below Market</v>
      </c>
      <c r="T47" s="22" t="str">
        <f>B47 &amp; "-" &amp; D47</f>
        <v>IT Analyst-2</v>
      </c>
      <c r="U47" s="41">
        <f>AVERAGEIFS(H:H, K:K, "Female", B:B, B47, D:D, D47)</f>
        <v>55600.230769230766</v>
      </c>
      <c r="V47" s="41">
        <f>AVERAGEIFS(H:H, K:K, "Male", B:B, B47, D:D, D47)</f>
        <v>58468.727272727272</v>
      </c>
      <c r="W47" s="27">
        <f>(V47-U47)/V47</f>
        <v>4.9060354779340579E-2</v>
      </c>
      <c r="X47" s="23" t="str">
        <f>IF(ABS(W47) &gt;= 0.1, "High Risk",
 IF(ABS(W47) &gt;= 0.05, "Moderate Risk",
 "Low Risk"))</f>
        <v>Low Risk</v>
      </c>
      <c r="Y47" t="str">
        <f>IF(J47&gt;=3,"Yes","No")</f>
        <v>Yes</v>
      </c>
      <c r="Z47">
        <f>IF(TRIM(S47)="Below Market",1,
 IF(TRIM(S47)="At Market",2,
 IF(TRIM(S47)="Above Market",3,0)))</f>
        <v>1</v>
      </c>
      <c r="AA47" s="26" cm="1">
        <f t="array" ref="AA47">IF($Y47&lt;&gt;"Yes",0,INDEX(Merit_Matrix!$B$2:$D$4,MATCH($J47,Merit_Matrix!$A$2:$A$4,0),Z47))</f>
        <v>3.5000000000000003E-2</v>
      </c>
      <c r="AB47" s="41">
        <f>H47*AA47</f>
        <v>1845.6550000000002</v>
      </c>
      <c r="AC47" s="41">
        <f>H47+AB47</f>
        <v>54578.654999999999</v>
      </c>
      <c r="AD47" s="26">
        <f>AC47/O47</f>
        <v>0.52616075388026606</v>
      </c>
      <c r="AE47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48" spans="1:31" x14ac:dyDescent="0.3">
      <c r="A48">
        <v>1045</v>
      </c>
      <c r="B48" t="s">
        <v>23</v>
      </c>
      <c r="C48" t="s">
        <v>24</v>
      </c>
      <c r="D48">
        <v>4</v>
      </c>
      <c r="E48" t="s">
        <v>14</v>
      </c>
      <c r="F48" t="s">
        <v>24</v>
      </c>
      <c r="G48" t="s">
        <v>15</v>
      </c>
      <c r="H48" s="41">
        <v>88784</v>
      </c>
      <c r="I48" t="b">
        <v>1</v>
      </c>
      <c r="J48">
        <v>4</v>
      </c>
      <c r="K48" t="s">
        <v>19</v>
      </c>
      <c r="L48" s="1">
        <v>42615</v>
      </c>
      <c r="M48">
        <v>8</v>
      </c>
      <c r="N48" s="42">
        <f>VLOOKUP(B48,Market_Salary_Benchmarks!$A$1:$G$11,5,FALSE)</f>
        <v>82620</v>
      </c>
      <c r="O48" s="42">
        <f>VLOOKUP(B48,Market_Salary_Benchmarks!$A$1:$G$11,6,FALSE)</f>
        <v>110030</v>
      </c>
      <c r="P48" s="42">
        <f>VLOOKUP(B48,Market_Salary_Benchmarks!$A$1:$G$11,7,FALSE)</f>
        <v>146810</v>
      </c>
      <c r="Q48" s="26">
        <f>H48/O48</f>
        <v>0.80690720712532948</v>
      </c>
      <c r="R48" s="26">
        <f>(H48-N48)/(P48-N48)</f>
        <v>9.6027418601028203E-2</v>
      </c>
      <c r="S48" s="23" t="str">
        <f>IF(H48 &lt; N48, "Below Market", IF(H48 &gt; P48, "Above Market", "At Market"))</f>
        <v>At Market</v>
      </c>
      <c r="T48" s="22" t="str">
        <f>B48 &amp; "-" &amp; D48</f>
        <v>HR Manager-4</v>
      </c>
      <c r="U48" s="41">
        <f>AVERAGEIFS(H:H, K:K, "Female", B:B, B48, D:D, D48)</f>
        <v>97910.769230769234</v>
      </c>
      <c r="V48" s="41">
        <f>AVERAGEIFS(H:H, K:K, "Male", B:B, B48, D:D, D48)</f>
        <v>96300.666666666672</v>
      </c>
      <c r="W48" s="27">
        <f>(V48-U48)/V48</f>
        <v>-1.6719537048229805E-2</v>
      </c>
      <c r="X48" s="23" t="str">
        <f>IF(ABS(W48) &gt;= 0.1, "High Risk",
 IF(ABS(W48) &gt;= 0.05, "Moderate Risk",
 "Low Risk"))</f>
        <v>Low Risk</v>
      </c>
      <c r="Y48" t="str">
        <f>IF(J48&gt;=3,"Yes","No")</f>
        <v>Yes</v>
      </c>
      <c r="Z48">
        <f>IF(TRIM(S48)="Below Market",1,
 IF(TRIM(S48)="At Market",2,
 IF(TRIM(S48)="Above Market",3,0)))</f>
        <v>2</v>
      </c>
      <c r="AA48" s="26" cm="1">
        <f t="array" ref="AA48">IF($Y48&lt;&gt;"Yes",0,INDEX(Merit_Matrix!$B$2:$D$4,MATCH($J48,Merit_Matrix!$A$2:$A$4,0),Z48))</f>
        <v>0.04</v>
      </c>
      <c r="AB48" s="41">
        <f>H48*AA48</f>
        <v>3551.36</v>
      </c>
      <c r="AC48" s="41">
        <f>H48+AB48</f>
        <v>92335.360000000001</v>
      </c>
      <c r="AD48" s="26">
        <f>AC48/O48</f>
        <v>0.83918349541034265</v>
      </c>
      <c r="AE4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49" spans="1:31" x14ac:dyDescent="0.3">
      <c r="A49">
        <v>1046</v>
      </c>
      <c r="B49" t="s">
        <v>23</v>
      </c>
      <c r="C49" t="s">
        <v>24</v>
      </c>
      <c r="D49">
        <v>4</v>
      </c>
      <c r="E49" t="s">
        <v>14</v>
      </c>
      <c r="F49" t="s">
        <v>24</v>
      </c>
      <c r="G49" t="s">
        <v>15</v>
      </c>
      <c r="H49" s="41">
        <v>93986</v>
      </c>
      <c r="I49" t="b">
        <v>1</v>
      </c>
      <c r="J49">
        <v>3</v>
      </c>
      <c r="K49" t="s">
        <v>16</v>
      </c>
      <c r="L49" s="1">
        <v>42894</v>
      </c>
      <c r="M49">
        <v>13</v>
      </c>
      <c r="N49" s="42">
        <f>VLOOKUP(B49,Market_Salary_Benchmarks!$A$1:$G$11,5,FALSE)</f>
        <v>82620</v>
      </c>
      <c r="O49" s="42">
        <f>VLOOKUP(B49,Market_Salary_Benchmarks!$A$1:$G$11,6,FALSE)</f>
        <v>110030</v>
      </c>
      <c r="P49" s="42">
        <f>VLOOKUP(B49,Market_Salary_Benchmarks!$A$1:$G$11,7,FALSE)</f>
        <v>146810</v>
      </c>
      <c r="Q49" s="26">
        <f>H49/O49</f>
        <v>0.85418522221212401</v>
      </c>
      <c r="R49" s="26">
        <f>(H49-N49)/(P49-N49)</f>
        <v>0.17706807914005296</v>
      </c>
      <c r="S49" s="23" t="str">
        <f>IF(H49 &lt; N49, "Below Market", IF(H49 &gt; P49, "Above Market", "At Market"))</f>
        <v>At Market</v>
      </c>
      <c r="T49" s="22" t="str">
        <f>B49 &amp; "-" &amp; D49</f>
        <v>HR Manager-4</v>
      </c>
      <c r="U49" s="41">
        <f>AVERAGEIFS(H:H, K:K, "Female", B:B, B49, D:D, D49)</f>
        <v>97910.769230769234</v>
      </c>
      <c r="V49" s="41">
        <f>AVERAGEIFS(H:H, K:K, "Male", B:B, B49, D:D, D49)</f>
        <v>96300.666666666672</v>
      </c>
      <c r="W49" s="27">
        <f>(V49-U49)/V49</f>
        <v>-1.6719537048229805E-2</v>
      </c>
      <c r="X49" s="23" t="str">
        <f>IF(ABS(W49) &gt;= 0.1, "High Risk",
 IF(ABS(W49) &gt;= 0.05, "Moderate Risk",
 "Low Risk"))</f>
        <v>Low Risk</v>
      </c>
      <c r="Y49" t="str">
        <f>IF(J49&gt;=3,"Yes","No")</f>
        <v>Yes</v>
      </c>
      <c r="Z49">
        <f>IF(TRIM(S49)="Below Market",1,
 IF(TRIM(S49)="At Market",2,
 IF(TRIM(S49)="Above Market",3,0)))</f>
        <v>2</v>
      </c>
      <c r="AA49" s="26" cm="1">
        <f t="array" ref="AA49">IF($Y49&lt;&gt;"Yes",0,INDEX(Merit_Matrix!$B$2:$D$4,MATCH($J49,Merit_Matrix!$A$2:$A$4,0),Z49))</f>
        <v>0.03</v>
      </c>
      <c r="AB49" s="41">
        <f>H49*AA49</f>
        <v>2819.58</v>
      </c>
      <c r="AC49" s="41">
        <f>H49+AB49</f>
        <v>96805.58</v>
      </c>
      <c r="AD49" s="26">
        <f>AC49/O49</f>
        <v>0.87981077887848769</v>
      </c>
      <c r="AE4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0" spans="1:31" x14ac:dyDescent="0.3">
      <c r="A50">
        <v>1047</v>
      </c>
      <c r="B50" t="s">
        <v>23</v>
      </c>
      <c r="C50" t="s">
        <v>24</v>
      </c>
      <c r="D50">
        <v>4</v>
      </c>
      <c r="E50" t="s">
        <v>14</v>
      </c>
      <c r="F50" t="s">
        <v>24</v>
      </c>
      <c r="G50" t="s">
        <v>15</v>
      </c>
      <c r="H50" s="41">
        <v>100323</v>
      </c>
      <c r="I50" t="b">
        <v>1</v>
      </c>
      <c r="J50">
        <v>4</v>
      </c>
      <c r="K50" t="s">
        <v>19</v>
      </c>
      <c r="L50" s="1">
        <v>44929</v>
      </c>
      <c r="M50">
        <v>13</v>
      </c>
      <c r="N50" s="42">
        <f>VLOOKUP(B50,Market_Salary_Benchmarks!$A$1:$G$11,5,FALSE)</f>
        <v>82620</v>
      </c>
      <c r="O50" s="42">
        <f>VLOOKUP(B50,Market_Salary_Benchmarks!$A$1:$G$11,6,FALSE)</f>
        <v>110030</v>
      </c>
      <c r="P50" s="42">
        <f>VLOOKUP(B50,Market_Salary_Benchmarks!$A$1:$G$11,7,FALSE)</f>
        <v>146810</v>
      </c>
      <c r="Q50" s="26">
        <f>H50/O50</f>
        <v>0.91177860583477233</v>
      </c>
      <c r="R50" s="26">
        <f>(H50-N50)/(P50-N50)</f>
        <v>0.27579062159214829</v>
      </c>
      <c r="S50" s="23" t="str">
        <f>IF(H50 &lt; N50, "Below Market", IF(H50 &gt; P50, "Above Market", "At Market"))</f>
        <v>At Market</v>
      </c>
      <c r="T50" s="22" t="str">
        <f>B50 &amp; "-" &amp; D50</f>
        <v>HR Manager-4</v>
      </c>
      <c r="U50" s="41">
        <f>AVERAGEIFS(H:H, K:K, "Female", B:B, B50, D:D, D50)</f>
        <v>97910.769230769234</v>
      </c>
      <c r="V50" s="41">
        <f>AVERAGEIFS(H:H, K:K, "Male", B:B, B50, D:D, D50)</f>
        <v>96300.666666666672</v>
      </c>
      <c r="W50" s="27">
        <f>(V50-U50)/V50</f>
        <v>-1.6719537048229805E-2</v>
      </c>
      <c r="X50" s="23" t="str">
        <f>IF(ABS(W50) &gt;= 0.1, "High Risk",
 IF(ABS(W50) &gt;= 0.05, "Moderate Risk",
 "Low Risk"))</f>
        <v>Low Risk</v>
      </c>
      <c r="Y50" t="str">
        <f>IF(J50&gt;=3,"Yes","No")</f>
        <v>Yes</v>
      </c>
      <c r="Z50">
        <f>IF(TRIM(S50)="Below Market",1,
 IF(TRIM(S50)="At Market",2,
 IF(TRIM(S50)="Above Market",3,0)))</f>
        <v>2</v>
      </c>
      <c r="AA50" s="26" cm="1">
        <f t="array" ref="AA50">IF($Y50&lt;&gt;"Yes",0,INDEX(Merit_Matrix!$B$2:$D$4,MATCH($J50,Merit_Matrix!$A$2:$A$4,0),Z50))</f>
        <v>0.04</v>
      </c>
      <c r="AB50" s="41">
        <f>H50*AA50</f>
        <v>4012.92</v>
      </c>
      <c r="AC50" s="41">
        <f>H50+AB50</f>
        <v>104335.92</v>
      </c>
      <c r="AD50" s="26">
        <f>AC50/O50</f>
        <v>0.94824975006816326</v>
      </c>
      <c r="AE5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1" spans="1:31" x14ac:dyDescent="0.3">
      <c r="A51">
        <v>1048</v>
      </c>
      <c r="B51" t="s">
        <v>30</v>
      </c>
      <c r="C51" t="s">
        <v>24</v>
      </c>
      <c r="D51">
        <v>2</v>
      </c>
      <c r="E51" t="s">
        <v>21</v>
      </c>
      <c r="F51" t="s">
        <v>24</v>
      </c>
      <c r="G51" t="s">
        <v>15</v>
      </c>
      <c r="H51" s="41">
        <v>56614</v>
      </c>
      <c r="I51" t="b">
        <v>0</v>
      </c>
      <c r="J51">
        <v>3</v>
      </c>
      <c r="K51" t="s">
        <v>16</v>
      </c>
      <c r="L51" s="1">
        <v>45144</v>
      </c>
      <c r="M51">
        <v>7</v>
      </c>
      <c r="N51" s="42">
        <f>VLOOKUP(B51,Market_Salary_Benchmarks!$A$1:$G$11,5,FALSE)</f>
        <v>37930</v>
      </c>
      <c r="O51" s="42">
        <f>VLOOKUP(B51,Market_Salary_Benchmarks!$A$1:$G$11,6,FALSE)</f>
        <v>45470</v>
      </c>
      <c r="P51" s="42">
        <f>VLOOKUP(B51,Market_Salary_Benchmarks!$A$1:$G$11,7,FALSE)</f>
        <v>54160</v>
      </c>
      <c r="Q51" s="26">
        <f>H51/O51</f>
        <v>1.245084671211788</v>
      </c>
      <c r="R51" s="26">
        <f>(H51-N51)/(P51-N51)</f>
        <v>1.1512014787430684</v>
      </c>
      <c r="S51" s="23" t="str">
        <f>IF(H51 &lt; N51, "Below Market", IF(H51 &gt; P51, "Above Market", "At Market"))</f>
        <v>Above Market</v>
      </c>
      <c r="T51" s="22" t="str">
        <f>B51 &amp; "-" &amp; D51</f>
        <v>Payroll Specialist-2</v>
      </c>
      <c r="U51" s="41">
        <f>AVERAGEIFS(H:H, K:K, "Female", B:B, B51, D:D, D51)</f>
        <v>58334.555555555555</v>
      </c>
      <c r="V51" s="41">
        <f>AVERAGEIFS(H:H, K:K, "Male", B:B, B51, D:D, D51)</f>
        <v>56264.5</v>
      </c>
      <c r="W51" s="27">
        <f>(V51-U51)/V51</f>
        <v>-3.6791503622276123E-2</v>
      </c>
      <c r="X51" s="23" t="str">
        <f>IF(ABS(W51) &gt;= 0.1, "High Risk",
 IF(ABS(W51) &gt;= 0.05, "Moderate Risk",
 "Low Risk"))</f>
        <v>Low Risk</v>
      </c>
      <c r="Y51" t="str">
        <f>IF(J51&gt;=3,"Yes","No")</f>
        <v>Yes</v>
      </c>
      <c r="Z51">
        <f>IF(TRIM(S51)="Below Market",1,
 IF(TRIM(S51)="At Market",2,
 IF(TRIM(S51)="Above Market",3,0)))</f>
        <v>3</v>
      </c>
      <c r="AA51" s="26" cm="1">
        <f t="array" ref="AA51">IF($Y51&lt;&gt;"Yes",0,INDEX(Merit_Matrix!$B$2:$D$4,MATCH($J51,Merit_Matrix!$A$2:$A$4,0),Z51))</f>
        <v>0.02</v>
      </c>
      <c r="AB51" s="41">
        <f>H51*AA51</f>
        <v>1132.28</v>
      </c>
      <c r="AC51" s="41">
        <f>H51+AB51</f>
        <v>57746.28</v>
      </c>
      <c r="AD51" s="26">
        <f>AC51/O51</f>
        <v>1.2699863646360237</v>
      </c>
      <c r="AE51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52" spans="1:31" x14ac:dyDescent="0.3">
      <c r="A52">
        <v>1049</v>
      </c>
      <c r="B52" t="s">
        <v>30</v>
      </c>
      <c r="C52" t="s">
        <v>24</v>
      </c>
      <c r="D52">
        <v>2</v>
      </c>
      <c r="E52" t="s">
        <v>21</v>
      </c>
      <c r="F52" t="s">
        <v>24</v>
      </c>
      <c r="G52" t="s">
        <v>15</v>
      </c>
      <c r="H52" s="41">
        <v>61928</v>
      </c>
      <c r="I52" t="b">
        <v>0</v>
      </c>
      <c r="J52">
        <v>5</v>
      </c>
      <c r="K52" t="s">
        <v>16</v>
      </c>
      <c r="L52" s="1">
        <v>44731</v>
      </c>
      <c r="M52">
        <v>11</v>
      </c>
      <c r="N52" s="42">
        <f>VLOOKUP(B52,Market_Salary_Benchmarks!$A$1:$G$11,5,FALSE)</f>
        <v>37930</v>
      </c>
      <c r="O52" s="42">
        <f>VLOOKUP(B52,Market_Salary_Benchmarks!$A$1:$G$11,6,FALSE)</f>
        <v>45470</v>
      </c>
      <c r="P52" s="42">
        <f>VLOOKUP(B52,Market_Salary_Benchmarks!$A$1:$G$11,7,FALSE)</f>
        <v>54160</v>
      </c>
      <c r="Q52" s="26">
        <f>H52/O52</f>
        <v>1.3619529360017595</v>
      </c>
      <c r="R52" s="26">
        <f>(H52-N52)/(P52-N52)</f>
        <v>1.4786198398028343</v>
      </c>
      <c r="S52" s="23" t="str">
        <f>IF(H52 &lt; N52, "Below Market", IF(H52 &gt; P52, "Above Market", "At Market"))</f>
        <v>Above Market</v>
      </c>
      <c r="T52" s="22" t="str">
        <f>B52 &amp; "-" &amp; D52</f>
        <v>Payroll Specialist-2</v>
      </c>
      <c r="U52" s="41">
        <f>AVERAGEIFS(H:H, K:K, "Female", B:B, B52, D:D, D52)</f>
        <v>58334.555555555555</v>
      </c>
      <c r="V52" s="41">
        <f>AVERAGEIFS(H:H, K:K, "Male", B:B, B52, D:D, D52)</f>
        <v>56264.5</v>
      </c>
      <c r="W52" s="27">
        <f>(V52-U52)/V52</f>
        <v>-3.6791503622276123E-2</v>
      </c>
      <c r="X52" s="23" t="str">
        <f>IF(ABS(W52) &gt;= 0.1, "High Risk",
 IF(ABS(W52) &gt;= 0.05, "Moderate Risk",
 "Low Risk"))</f>
        <v>Low Risk</v>
      </c>
      <c r="Y52" t="str">
        <f>IF(J52&gt;=3,"Yes","No")</f>
        <v>Yes</v>
      </c>
      <c r="Z52">
        <f>IF(TRIM(S52)="Below Market",1,
 IF(TRIM(S52)="At Market",2,
 IF(TRIM(S52)="Above Market",3,0)))</f>
        <v>3</v>
      </c>
      <c r="AA52" s="26" cm="1">
        <f t="array" ref="AA52">IF($Y52&lt;&gt;"Yes",0,INDEX(Merit_Matrix!$B$2:$D$4,MATCH($J52,Merit_Matrix!$A$2:$A$4,0),Z52))</f>
        <v>0.04</v>
      </c>
      <c r="AB52" s="41">
        <f>H52*AA52</f>
        <v>2477.12</v>
      </c>
      <c r="AC52" s="41">
        <f>H52+AB52</f>
        <v>64405.120000000003</v>
      </c>
      <c r="AD52" s="26">
        <f>AC52/O52</f>
        <v>1.4164310534418298</v>
      </c>
      <c r="AE52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53" spans="1:31" x14ac:dyDescent="0.3">
      <c r="A53">
        <v>1050</v>
      </c>
      <c r="B53" t="s">
        <v>20</v>
      </c>
      <c r="C53" t="s">
        <v>13</v>
      </c>
      <c r="D53">
        <v>3</v>
      </c>
      <c r="E53" t="s">
        <v>21</v>
      </c>
      <c r="F53" t="s">
        <v>13</v>
      </c>
      <c r="G53" t="s">
        <v>15</v>
      </c>
      <c r="H53" s="41">
        <v>79907</v>
      </c>
      <c r="I53" t="b">
        <v>1</v>
      </c>
      <c r="J53">
        <v>4</v>
      </c>
      <c r="K53" t="s">
        <v>16</v>
      </c>
      <c r="L53" s="1">
        <v>44861</v>
      </c>
      <c r="M53">
        <v>6</v>
      </c>
      <c r="N53" s="42">
        <f>VLOOKUP(B53,Market_Salary_Benchmarks!$A$1:$G$11,5,FALSE)</f>
        <v>52500</v>
      </c>
      <c r="O53" s="42">
        <f>VLOOKUP(B53,Market_Salary_Benchmarks!$A$1:$G$11,6,FALSE)</f>
        <v>67210</v>
      </c>
      <c r="P53" s="42">
        <f>VLOOKUP(B53,Market_Salary_Benchmarks!$A$1:$G$11,7,FALSE)</f>
        <v>83970</v>
      </c>
      <c r="Q53" s="26">
        <f>H53/O53</f>
        <v>1.1889153399791699</v>
      </c>
      <c r="R53" s="26">
        <f>(H53-N53)/(P53-N53)</f>
        <v>0.8708929138862409</v>
      </c>
      <c r="S53" s="23" t="str">
        <f>IF(H53 &lt; N53, "Below Market", IF(H53 &gt; P53, "Above Market", "At Market"))</f>
        <v>At Market</v>
      </c>
      <c r="T53" s="22" t="str">
        <f>B53 &amp; "-" &amp; D53</f>
        <v>Operations Supervisor-3</v>
      </c>
      <c r="U53" s="41">
        <f>AVERAGEIFS(H:H, K:K, "Female", B:B, B53, D:D, D53)</f>
        <v>79072.21428571429</v>
      </c>
      <c r="V53" s="41">
        <f>AVERAGEIFS(H:H, K:K, "Male", B:B, B53, D:D, D53)</f>
        <v>76780.28571428571</v>
      </c>
      <c r="W53" s="27">
        <f>(V53-U53)/V53</f>
        <v>-2.9850482452713045E-2</v>
      </c>
      <c r="X53" s="23" t="str">
        <f>IF(ABS(W53) &gt;= 0.1, "High Risk",
 IF(ABS(W53) &gt;= 0.05, "Moderate Risk",
 "Low Risk"))</f>
        <v>Low Risk</v>
      </c>
      <c r="Y53" t="str">
        <f>IF(J53&gt;=3,"Yes","No")</f>
        <v>Yes</v>
      </c>
      <c r="Z53">
        <f>IF(TRIM(S53)="Below Market",1,
 IF(TRIM(S53)="At Market",2,
 IF(TRIM(S53)="Above Market",3,0)))</f>
        <v>2</v>
      </c>
      <c r="AA53" s="26" cm="1">
        <f t="array" ref="AA53">IF($Y53&lt;&gt;"Yes",0,INDEX(Merit_Matrix!$B$2:$D$4,MATCH($J53,Merit_Matrix!$A$2:$A$4,0),Z53))</f>
        <v>0.04</v>
      </c>
      <c r="AB53" s="41">
        <f>H53*AA53</f>
        <v>3196.28</v>
      </c>
      <c r="AC53" s="41">
        <f>H53+AB53</f>
        <v>83103.28</v>
      </c>
      <c r="AD53" s="26">
        <f>AC53/O53</f>
        <v>1.2364719535783366</v>
      </c>
      <c r="AE5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4" spans="1:31" x14ac:dyDescent="0.3">
      <c r="A54">
        <v>1051</v>
      </c>
      <c r="B54" t="s">
        <v>29</v>
      </c>
      <c r="C54" t="s">
        <v>24</v>
      </c>
      <c r="D54">
        <v>2</v>
      </c>
      <c r="E54" t="s">
        <v>14</v>
      </c>
      <c r="F54" t="s">
        <v>24</v>
      </c>
      <c r="G54" t="s">
        <v>15</v>
      </c>
      <c r="H54" s="41">
        <v>64599</v>
      </c>
      <c r="I54" t="b">
        <v>0</v>
      </c>
      <c r="J54">
        <v>5</v>
      </c>
      <c r="K54" t="s">
        <v>19</v>
      </c>
      <c r="L54" s="1">
        <v>43589</v>
      </c>
      <c r="M54">
        <v>7</v>
      </c>
      <c r="N54" s="42">
        <f>VLOOKUP(B54,Market_Salary_Benchmarks!$A$1:$G$11,5,FALSE)</f>
        <v>48890</v>
      </c>
      <c r="O54" s="42">
        <f>VLOOKUP(B54,Market_Salary_Benchmarks!$A$1:$G$11,6,FALSE)</f>
        <v>62770</v>
      </c>
      <c r="P54" s="42">
        <f>VLOOKUP(B54,Market_Salary_Benchmarks!$A$1:$G$11,7,FALSE)</f>
        <v>82990</v>
      </c>
      <c r="Q54" s="26">
        <f>H54/O54</f>
        <v>1.0291381233073125</v>
      </c>
      <c r="R54" s="26">
        <f>(H54-N54)/(P54-N54)</f>
        <v>0.46067448680351908</v>
      </c>
      <c r="S54" s="23" t="str">
        <f>IF(H54 &lt; N54, "Below Market", IF(H54 &gt; P54, "Above Market", "At Market"))</f>
        <v>At Market</v>
      </c>
      <c r="T54" s="22" t="str">
        <f>B54 &amp; "-" &amp; D54</f>
        <v>HR Analyst-2</v>
      </c>
      <c r="U54" s="41">
        <f>AVERAGEIFS(H:H, K:K, "Female", B:B, B54, D:D, D54)</f>
        <v>56635.5</v>
      </c>
      <c r="V54" s="41">
        <f>AVERAGEIFS(H:H, K:K, "Male", B:B, B54, D:D, D54)</f>
        <v>59544.4</v>
      </c>
      <c r="W54" s="27">
        <f>(V54-U54)/V54</f>
        <v>4.8852620901377819E-2</v>
      </c>
      <c r="X54" s="23" t="str">
        <f>IF(ABS(W54) &gt;= 0.1, "High Risk",
 IF(ABS(W54) &gt;= 0.05, "Moderate Risk",
 "Low Risk"))</f>
        <v>Low Risk</v>
      </c>
      <c r="Y54" t="str">
        <f>IF(J54&gt;=3,"Yes","No")</f>
        <v>Yes</v>
      </c>
      <c r="Z54">
        <f>IF(TRIM(S54)="Below Market",1,
 IF(TRIM(S54)="At Market",2,
 IF(TRIM(S54)="Above Market",3,0)))</f>
        <v>2</v>
      </c>
      <c r="AA54" s="26" cm="1">
        <f t="array" ref="AA54">IF($Y54&lt;&gt;"Yes",0,INDEX(Merit_Matrix!$B$2:$D$4,MATCH($J54,Merit_Matrix!$A$2:$A$4,0),Z54))</f>
        <v>0.05</v>
      </c>
      <c r="AB54" s="41">
        <f>H54*AA54</f>
        <v>3229.9500000000003</v>
      </c>
      <c r="AC54" s="41">
        <f>H54+AB54</f>
        <v>67828.95</v>
      </c>
      <c r="AD54" s="26">
        <f>AC54/O54</f>
        <v>1.080595029472678</v>
      </c>
      <c r="AE5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5" spans="1:31" x14ac:dyDescent="0.3">
      <c r="A55">
        <v>1052</v>
      </c>
      <c r="B55" t="s">
        <v>25</v>
      </c>
      <c r="C55" t="s">
        <v>26</v>
      </c>
      <c r="D55">
        <v>3</v>
      </c>
      <c r="E55" t="s">
        <v>14</v>
      </c>
      <c r="F55" t="s">
        <v>26</v>
      </c>
      <c r="G55" t="s">
        <v>15</v>
      </c>
      <c r="H55" s="41">
        <v>76966</v>
      </c>
      <c r="I55" t="b">
        <v>1</v>
      </c>
      <c r="J55">
        <v>4</v>
      </c>
      <c r="K55" t="s">
        <v>19</v>
      </c>
      <c r="L55" s="1">
        <v>42739</v>
      </c>
      <c r="M55">
        <v>13</v>
      </c>
      <c r="N55" s="42">
        <f>VLOOKUP(B55,Market_Salary_Benchmarks!$A$1:$G$11,5,FALSE)</f>
        <v>49460</v>
      </c>
      <c r="O55" s="42">
        <f>VLOOKUP(B55,Market_Salary_Benchmarks!$A$1:$G$11,6,FALSE)</f>
        <v>78370</v>
      </c>
      <c r="P55" s="42">
        <f>VLOOKUP(B55,Market_Salary_Benchmarks!$A$1:$G$11,7,FALSE)</f>
        <v>104330</v>
      </c>
      <c r="Q55" s="26">
        <f>H55/O55</f>
        <v>0.98208498149802215</v>
      </c>
      <c r="R55" s="26">
        <f>(H55-N55)/(P55-N55)</f>
        <v>0.50129396755968658</v>
      </c>
      <c r="S55" s="23" t="str">
        <f>IF(H55 &lt; N55, "Below Market", IF(H55 &gt; P55, "Above Market", "At Market"))</f>
        <v>At Market</v>
      </c>
      <c r="T55" s="22" t="str">
        <f>B55 &amp; "-" &amp; D55</f>
        <v>Financial Analyst-3</v>
      </c>
      <c r="U55" s="41">
        <f>AVERAGEIFS(H:H, K:K, "Female", B:B, B55, D:D, D55)</f>
        <v>76962.636363636368</v>
      </c>
      <c r="V55" s="41">
        <f>AVERAGEIFS(H:H, K:K, "Male", B:B, B55, D:D, D55)</f>
        <v>77416</v>
      </c>
      <c r="W55" s="27">
        <f>(V55-U55)/V55</f>
        <v>5.8562007383955823E-3</v>
      </c>
      <c r="X55" s="23" t="str">
        <f>IF(ABS(W55) &gt;= 0.1, "High Risk",
 IF(ABS(W55) &gt;= 0.05, "Moderate Risk",
 "Low Risk"))</f>
        <v>Low Risk</v>
      </c>
      <c r="Y55" t="str">
        <f>IF(J55&gt;=3,"Yes","No")</f>
        <v>Yes</v>
      </c>
      <c r="Z55">
        <f>IF(TRIM(S55)="Below Market",1,
 IF(TRIM(S55)="At Market",2,
 IF(TRIM(S55)="Above Market",3,0)))</f>
        <v>2</v>
      </c>
      <c r="AA55" s="26" cm="1">
        <f t="array" ref="AA55">IF($Y55&lt;&gt;"Yes",0,INDEX(Merit_Matrix!$B$2:$D$4,MATCH($J55,Merit_Matrix!$A$2:$A$4,0),Z55))</f>
        <v>0.04</v>
      </c>
      <c r="AB55" s="41">
        <f>H55*AA55</f>
        <v>3078.64</v>
      </c>
      <c r="AC55" s="41">
        <f>H55+AB55</f>
        <v>80044.639999999999</v>
      </c>
      <c r="AD55" s="26">
        <f>AC55/O55</f>
        <v>1.021368380757943</v>
      </c>
      <c r="AE5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6" spans="1:31" x14ac:dyDescent="0.3">
      <c r="A56">
        <v>1053</v>
      </c>
      <c r="B56" t="s">
        <v>23</v>
      </c>
      <c r="C56" t="s">
        <v>24</v>
      </c>
      <c r="D56">
        <v>4</v>
      </c>
      <c r="E56" t="s">
        <v>14</v>
      </c>
      <c r="F56" t="s">
        <v>24</v>
      </c>
      <c r="G56" t="s">
        <v>15</v>
      </c>
      <c r="H56" s="41">
        <v>96311</v>
      </c>
      <c r="I56" t="b">
        <v>1</v>
      </c>
      <c r="J56">
        <v>3</v>
      </c>
      <c r="K56" t="s">
        <v>16</v>
      </c>
      <c r="L56" s="1">
        <v>43451</v>
      </c>
      <c r="M56">
        <v>8</v>
      </c>
      <c r="N56" s="42">
        <f>VLOOKUP(B56,Market_Salary_Benchmarks!$A$1:$G$11,5,FALSE)</f>
        <v>82620</v>
      </c>
      <c r="O56" s="42">
        <f>VLOOKUP(B56,Market_Salary_Benchmarks!$A$1:$G$11,6,FALSE)</f>
        <v>110030</v>
      </c>
      <c r="P56" s="42">
        <f>VLOOKUP(B56,Market_Salary_Benchmarks!$A$1:$G$11,7,FALSE)</f>
        <v>146810</v>
      </c>
      <c r="Q56" s="26">
        <f>H56/O56</f>
        <v>0.87531582295737531</v>
      </c>
      <c r="R56" s="26">
        <f>(H56-N56)/(P56-N56)</f>
        <v>0.21328867424832529</v>
      </c>
      <c r="S56" s="23" t="str">
        <f>IF(H56 &lt; N56, "Below Market", IF(H56 &gt; P56, "Above Market", "At Market"))</f>
        <v>At Market</v>
      </c>
      <c r="T56" s="22" t="str">
        <f>B56 &amp; "-" &amp; D56</f>
        <v>HR Manager-4</v>
      </c>
      <c r="U56" s="41">
        <f>AVERAGEIFS(H:H, K:K, "Female", B:B, B56, D:D, D56)</f>
        <v>97910.769230769234</v>
      </c>
      <c r="V56" s="41">
        <f>AVERAGEIFS(H:H, K:K, "Male", B:B, B56, D:D, D56)</f>
        <v>96300.666666666672</v>
      </c>
      <c r="W56" s="27">
        <f>(V56-U56)/V56</f>
        <v>-1.6719537048229805E-2</v>
      </c>
      <c r="X56" s="23" t="str">
        <f>IF(ABS(W56) &gt;= 0.1, "High Risk",
 IF(ABS(W56) &gt;= 0.05, "Moderate Risk",
 "Low Risk"))</f>
        <v>Low Risk</v>
      </c>
      <c r="Y56" t="str">
        <f>IF(J56&gt;=3,"Yes","No")</f>
        <v>Yes</v>
      </c>
      <c r="Z56">
        <f>IF(TRIM(S56)="Below Market",1,
 IF(TRIM(S56)="At Market",2,
 IF(TRIM(S56)="Above Market",3,0)))</f>
        <v>2</v>
      </c>
      <c r="AA56" s="26" cm="1">
        <f t="array" ref="AA56">IF($Y56&lt;&gt;"Yes",0,INDEX(Merit_Matrix!$B$2:$D$4,MATCH($J56,Merit_Matrix!$A$2:$A$4,0),Z56))</f>
        <v>0.03</v>
      </c>
      <c r="AB56" s="41">
        <f>H56*AA56</f>
        <v>2889.33</v>
      </c>
      <c r="AC56" s="41">
        <f>H56+AB56</f>
        <v>99200.33</v>
      </c>
      <c r="AD56" s="26">
        <f>AC56/O56</f>
        <v>0.90157529764609656</v>
      </c>
      <c r="AE5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7" spans="1:31" x14ac:dyDescent="0.3">
      <c r="A57">
        <v>1054</v>
      </c>
      <c r="B57" t="s">
        <v>23</v>
      </c>
      <c r="C57" t="s">
        <v>24</v>
      </c>
      <c r="D57">
        <v>4</v>
      </c>
      <c r="E57" t="s">
        <v>14</v>
      </c>
      <c r="F57" t="s">
        <v>24</v>
      </c>
      <c r="G57" t="s">
        <v>15</v>
      </c>
      <c r="H57" s="41">
        <v>93949</v>
      </c>
      <c r="I57" t="b">
        <v>1</v>
      </c>
      <c r="J57">
        <v>4</v>
      </c>
      <c r="K57" t="s">
        <v>19</v>
      </c>
      <c r="L57" s="1">
        <v>44301</v>
      </c>
      <c r="M57">
        <v>6</v>
      </c>
      <c r="N57" s="42">
        <f>VLOOKUP(B57,Market_Salary_Benchmarks!$A$1:$G$11,5,FALSE)</f>
        <v>82620</v>
      </c>
      <c r="O57" s="42">
        <f>VLOOKUP(B57,Market_Salary_Benchmarks!$A$1:$G$11,6,FALSE)</f>
        <v>110030</v>
      </c>
      <c r="P57" s="42">
        <f>VLOOKUP(B57,Market_Salary_Benchmarks!$A$1:$G$11,7,FALSE)</f>
        <v>146810</v>
      </c>
      <c r="Q57" s="26">
        <f>H57/O57</f>
        <v>0.8538489502862856</v>
      </c>
      <c r="R57" s="26">
        <f>(H57-N57)/(P57-N57)</f>
        <v>0.17649166536843744</v>
      </c>
      <c r="S57" s="23" t="str">
        <f>IF(H57 &lt; N57, "Below Market", IF(H57 &gt; P57, "Above Market", "At Market"))</f>
        <v>At Market</v>
      </c>
      <c r="T57" s="22" t="str">
        <f>B57 &amp; "-" &amp; D57</f>
        <v>HR Manager-4</v>
      </c>
      <c r="U57" s="41">
        <f>AVERAGEIFS(H:H, K:K, "Female", B:B, B57, D:D, D57)</f>
        <v>97910.769230769234</v>
      </c>
      <c r="V57" s="41">
        <f>AVERAGEIFS(H:H, K:K, "Male", B:B, B57, D:D, D57)</f>
        <v>96300.666666666672</v>
      </c>
      <c r="W57" s="27">
        <f>(V57-U57)/V57</f>
        <v>-1.6719537048229805E-2</v>
      </c>
      <c r="X57" s="23" t="str">
        <f>IF(ABS(W57) &gt;= 0.1, "High Risk",
 IF(ABS(W57) &gt;= 0.05, "Moderate Risk",
 "Low Risk"))</f>
        <v>Low Risk</v>
      </c>
      <c r="Y57" t="str">
        <f>IF(J57&gt;=3,"Yes","No")</f>
        <v>Yes</v>
      </c>
      <c r="Z57">
        <f>IF(TRIM(S57)="Below Market",1,
 IF(TRIM(S57)="At Market",2,
 IF(TRIM(S57)="Above Market",3,0)))</f>
        <v>2</v>
      </c>
      <c r="AA57" s="26" cm="1">
        <f t="array" ref="AA57">IF($Y57&lt;&gt;"Yes",0,INDEX(Merit_Matrix!$B$2:$D$4,MATCH($J57,Merit_Matrix!$A$2:$A$4,0),Z57))</f>
        <v>0.04</v>
      </c>
      <c r="AB57" s="41">
        <f>H57*AA57</f>
        <v>3757.96</v>
      </c>
      <c r="AC57" s="41">
        <f>H57+AB57</f>
        <v>97706.96</v>
      </c>
      <c r="AD57" s="26">
        <f>AC57/O57</f>
        <v>0.88800290829773709</v>
      </c>
      <c r="AE5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8" spans="1:31" x14ac:dyDescent="0.3">
      <c r="A58">
        <v>1055</v>
      </c>
      <c r="B58" t="s">
        <v>29</v>
      </c>
      <c r="C58" t="s">
        <v>24</v>
      </c>
      <c r="D58">
        <v>2</v>
      </c>
      <c r="E58" t="s">
        <v>14</v>
      </c>
      <c r="F58" t="s">
        <v>24</v>
      </c>
      <c r="G58" t="s">
        <v>15</v>
      </c>
      <c r="H58" s="41">
        <v>51081</v>
      </c>
      <c r="I58" t="b">
        <v>0</v>
      </c>
      <c r="J58">
        <v>3</v>
      </c>
      <c r="K58" t="s">
        <v>16</v>
      </c>
      <c r="L58" s="1">
        <v>43511</v>
      </c>
      <c r="M58">
        <v>10</v>
      </c>
      <c r="N58" s="42">
        <f>VLOOKUP(B58,Market_Salary_Benchmarks!$A$1:$G$11,5,FALSE)</f>
        <v>48890</v>
      </c>
      <c r="O58" s="42">
        <f>VLOOKUP(B58,Market_Salary_Benchmarks!$A$1:$G$11,6,FALSE)</f>
        <v>62770</v>
      </c>
      <c r="P58" s="42">
        <f>VLOOKUP(B58,Market_Salary_Benchmarks!$A$1:$G$11,7,FALSE)</f>
        <v>82990</v>
      </c>
      <c r="Q58" s="26">
        <f>H58/O58</f>
        <v>0.813780468376613</v>
      </c>
      <c r="R58" s="26">
        <f>(H58-N58)/(P58-N58)</f>
        <v>6.4252199413489738E-2</v>
      </c>
      <c r="S58" s="23" t="str">
        <f>IF(H58 &lt; N58, "Below Market", IF(H58 &gt; P58, "Above Market", "At Market"))</f>
        <v>At Market</v>
      </c>
      <c r="T58" s="22" t="str">
        <f>B58 &amp; "-" &amp; D58</f>
        <v>HR Analyst-2</v>
      </c>
      <c r="U58" s="41">
        <f>AVERAGEIFS(H:H, K:K, "Female", B:B, B58, D:D, D58)</f>
        <v>56635.5</v>
      </c>
      <c r="V58" s="41">
        <f>AVERAGEIFS(H:H, K:K, "Male", B:B, B58, D:D, D58)</f>
        <v>59544.4</v>
      </c>
      <c r="W58" s="27">
        <f>(V58-U58)/V58</f>
        <v>4.8852620901377819E-2</v>
      </c>
      <c r="X58" s="23" t="str">
        <f>IF(ABS(W58) &gt;= 0.1, "High Risk",
 IF(ABS(W58) &gt;= 0.05, "Moderate Risk",
 "Low Risk"))</f>
        <v>Low Risk</v>
      </c>
      <c r="Y58" t="str">
        <f>IF(J58&gt;=3,"Yes","No")</f>
        <v>Yes</v>
      </c>
      <c r="Z58">
        <f>IF(TRIM(S58)="Below Market",1,
 IF(TRIM(S58)="At Market",2,
 IF(TRIM(S58)="Above Market",3,0)))</f>
        <v>2</v>
      </c>
      <c r="AA58" s="26" cm="1">
        <f t="array" ref="AA58">IF($Y58&lt;&gt;"Yes",0,INDEX(Merit_Matrix!$B$2:$D$4,MATCH($J58,Merit_Matrix!$A$2:$A$4,0),Z58))</f>
        <v>0.03</v>
      </c>
      <c r="AB58" s="41">
        <f>H58*AA58</f>
        <v>1532.4299999999998</v>
      </c>
      <c r="AC58" s="41">
        <f>H58+AB58</f>
        <v>52613.43</v>
      </c>
      <c r="AD58" s="26">
        <f>AC58/O58</f>
        <v>0.83819388242791137</v>
      </c>
      <c r="AE5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59" spans="1:31" x14ac:dyDescent="0.3">
      <c r="A59">
        <v>1056</v>
      </c>
      <c r="B59" t="s">
        <v>17</v>
      </c>
      <c r="C59" t="s">
        <v>18</v>
      </c>
      <c r="D59">
        <v>2</v>
      </c>
      <c r="E59" t="s">
        <v>14</v>
      </c>
      <c r="F59" t="s">
        <v>18</v>
      </c>
      <c r="G59" t="s">
        <v>15</v>
      </c>
      <c r="H59" s="41">
        <v>57404</v>
      </c>
      <c r="I59" t="b">
        <v>0</v>
      </c>
      <c r="J59">
        <v>3</v>
      </c>
      <c r="K59" t="s">
        <v>16</v>
      </c>
      <c r="L59" s="1">
        <v>43840</v>
      </c>
      <c r="M59">
        <v>6</v>
      </c>
      <c r="N59" s="42">
        <f>VLOOKUP(B59,Market_Salary_Benchmarks!$A$1:$G$11,5,FALSE)</f>
        <v>81130</v>
      </c>
      <c r="O59" s="42">
        <f>VLOOKUP(B59,Market_Salary_Benchmarks!$A$1:$G$11,6,FALSE)</f>
        <v>103730</v>
      </c>
      <c r="P59" s="42">
        <f>VLOOKUP(B59,Market_Salary_Benchmarks!$A$1:$G$11,7,FALSE)</f>
        <v>132670</v>
      </c>
      <c r="Q59" s="26">
        <f>H59/O59</f>
        <v>0.55339824544490501</v>
      </c>
      <c r="R59" s="26">
        <f>(H59-N59)/(P59-N59)</f>
        <v>-0.46034148234381062</v>
      </c>
      <c r="S59" s="23" t="str">
        <f>IF(H59 &lt; N59, "Below Market", IF(H59 &gt; P59, "Above Market", "At Market"))</f>
        <v>Below Market</v>
      </c>
      <c r="T59" s="22" t="str">
        <f>B59 &amp; "-" &amp; D59</f>
        <v>IT Analyst-2</v>
      </c>
      <c r="U59" s="41">
        <f>AVERAGEIFS(H:H, K:K, "Female", B:B, B59, D:D, D59)</f>
        <v>55600.230769230766</v>
      </c>
      <c r="V59" s="41">
        <f>AVERAGEIFS(H:H, K:K, "Male", B:B, B59, D:D, D59)</f>
        <v>58468.727272727272</v>
      </c>
      <c r="W59" s="27">
        <f>(V59-U59)/V59</f>
        <v>4.9060354779340579E-2</v>
      </c>
      <c r="X59" s="23" t="str">
        <f>IF(ABS(W59) &gt;= 0.1, "High Risk",
 IF(ABS(W59) &gt;= 0.05, "Moderate Risk",
 "Low Risk"))</f>
        <v>Low Risk</v>
      </c>
      <c r="Y59" t="str">
        <f>IF(J59&gt;=3,"Yes","No")</f>
        <v>Yes</v>
      </c>
      <c r="Z59">
        <f>IF(TRIM(S59)="Below Market",1,
 IF(TRIM(S59)="At Market",2,
 IF(TRIM(S59)="Above Market",3,0)))</f>
        <v>1</v>
      </c>
      <c r="AA59" s="26" cm="1">
        <f t="array" ref="AA59">IF($Y59&lt;&gt;"Yes",0,INDEX(Merit_Matrix!$B$2:$D$4,MATCH($J59,Merit_Matrix!$A$2:$A$4,0),Z59))</f>
        <v>3.5000000000000003E-2</v>
      </c>
      <c r="AB59" s="41">
        <f>H59*AA59</f>
        <v>2009.14</v>
      </c>
      <c r="AC59" s="41">
        <f>H59+AB59</f>
        <v>59413.14</v>
      </c>
      <c r="AD59" s="26">
        <f>AC59/O59</f>
        <v>0.57276718403547666</v>
      </c>
      <c r="AE59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60" spans="1:31" x14ac:dyDescent="0.3">
      <c r="A60">
        <v>1057</v>
      </c>
      <c r="B60" t="s">
        <v>20</v>
      </c>
      <c r="C60" t="s">
        <v>13</v>
      </c>
      <c r="D60">
        <v>3</v>
      </c>
      <c r="E60" t="s">
        <v>21</v>
      </c>
      <c r="F60" t="s">
        <v>13</v>
      </c>
      <c r="G60" t="s">
        <v>15</v>
      </c>
      <c r="H60" s="41">
        <v>80486</v>
      </c>
      <c r="I60" t="b">
        <v>1</v>
      </c>
      <c r="J60">
        <v>3</v>
      </c>
      <c r="K60" t="s">
        <v>16</v>
      </c>
      <c r="L60" s="1">
        <v>43366</v>
      </c>
      <c r="M60">
        <v>7</v>
      </c>
      <c r="N60" s="42">
        <f>VLOOKUP(B60,Market_Salary_Benchmarks!$A$1:$G$11,5,FALSE)</f>
        <v>52500</v>
      </c>
      <c r="O60" s="42">
        <f>VLOOKUP(B60,Market_Salary_Benchmarks!$A$1:$G$11,6,FALSE)</f>
        <v>67210</v>
      </c>
      <c r="P60" s="42">
        <f>VLOOKUP(B60,Market_Salary_Benchmarks!$A$1:$G$11,7,FALSE)</f>
        <v>83970</v>
      </c>
      <c r="Q60" s="26">
        <f>H60/O60</f>
        <v>1.1975301294450231</v>
      </c>
      <c r="R60" s="26">
        <f>(H60-N60)/(P60-N60)</f>
        <v>0.88929138862408641</v>
      </c>
      <c r="S60" s="23" t="str">
        <f>IF(H60 &lt; N60, "Below Market", IF(H60 &gt; P60, "Above Market", "At Market"))</f>
        <v>At Market</v>
      </c>
      <c r="T60" s="22" t="str">
        <f>B60 &amp; "-" &amp; D60</f>
        <v>Operations Supervisor-3</v>
      </c>
      <c r="U60" s="41">
        <f>AVERAGEIFS(H:H, K:K, "Female", B:B, B60, D:D, D60)</f>
        <v>79072.21428571429</v>
      </c>
      <c r="V60" s="41">
        <f>AVERAGEIFS(H:H, K:K, "Male", B:B, B60, D:D, D60)</f>
        <v>76780.28571428571</v>
      </c>
      <c r="W60" s="27">
        <f>(V60-U60)/V60</f>
        <v>-2.9850482452713045E-2</v>
      </c>
      <c r="X60" s="23" t="str">
        <f>IF(ABS(W60) &gt;= 0.1, "High Risk",
 IF(ABS(W60) &gt;= 0.05, "Moderate Risk",
 "Low Risk"))</f>
        <v>Low Risk</v>
      </c>
      <c r="Y60" t="str">
        <f>IF(J60&gt;=3,"Yes","No")</f>
        <v>Yes</v>
      </c>
      <c r="Z60">
        <f>IF(TRIM(S60)="Below Market",1,
 IF(TRIM(S60)="At Market",2,
 IF(TRIM(S60)="Above Market",3,0)))</f>
        <v>2</v>
      </c>
      <c r="AA60" s="26" cm="1">
        <f t="array" ref="AA60">IF($Y60&lt;&gt;"Yes",0,INDEX(Merit_Matrix!$B$2:$D$4,MATCH($J60,Merit_Matrix!$A$2:$A$4,0),Z60))</f>
        <v>0.03</v>
      </c>
      <c r="AB60" s="41">
        <f>H60*AA60</f>
        <v>2414.58</v>
      </c>
      <c r="AC60" s="41">
        <f>H60+AB60</f>
        <v>82900.58</v>
      </c>
      <c r="AD60" s="26">
        <f>AC60/O60</f>
        <v>1.2334560333283737</v>
      </c>
      <c r="AE6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61" spans="1:31" x14ac:dyDescent="0.3">
      <c r="A61">
        <v>1058</v>
      </c>
      <c r="B61" t="s">
        <v>22</v>
      </c>
      <c r="C61" t="s">
        <v>18</v>
      </c>
      <c r="D61">
        <v>3</v>
      </c>
      <c r="E61" t="s">
        <v>14</v>
      </c>
      <c r="F61" t="s">
        <v>18</v>
      </c>
      <c r="G61" t="s">
        <v>15</v>
      </c>
      <c r="H61" s="41">
        <v>82237</v>
      </c>
      <c r="I61" t="b">
        <v>1</v>
      </c>
      <c r="J61">
        <v>1</v>
      </c>
      <c r="K61" t="s">
        <v>19</v>
      </c>
      <c r="L61" s="1">
        <v>44511</v>
      </c>
      <c r="M61">
        <v>5</v>
      </c>
      <c r="N61" s="42">
        <f>VLOOKUP(B61,Market_Salary_Benchmarks!$A$1:$G$11,5,FALSE)</f>
        <v>103040</v>
      </c>
      <c r="O61" s="42">
        <f>VLOOKUP(B61,Market_Salary_Benchmarks!$A$1:$G$11,6,FALSE)</f>
        <v>133500</v>
      </c>
      <c r="P61" s="42">
        <f>VLOOKUP(B61,Market_Salary_Benchmarks!$A$1:$G$11,7,FALSE)</f>
        <v>171680</v>
      </c>
      <c r="Q61" s="26">
        <f>H61/O61</f>
        <v>0.61600749063670412</v>
      </c>
      <c r="R61" s="26">
        <f>(H61-N61)/(P61-N61)</f>
        <v>-0.3030740093240093</v>
      </c>
      <c r="S61" s="23" t="str">
        <f>IF(H61 &lt; N61, "Below Market", IF(H61 &gt; P61, "Above Market", "At Market"))</f>
        <v>Below Market</v>
      </c>
      <c r="T61" s="22" t="str">
        <f>B61 &amp; "-" &amp; D61</f>
        <v>Senior IT Analyst-3</v>
      </c>
      <c r="U61" s="41">
        <f>AVERAGEIFS(H:H, K:K, "Female", B:B, B61, D:D, D61)</f>
        <v>78401.571428571435</v>
      </c>
      <c r="V61" s="41">
        <f>AVERAGEIFS(H:H, K:K, "Male", B:B, B61, D:D, D61)</f>
        <v>75875.125</v>
      </c>
      <c r="W61" s="27">
        <f>(V61-U61)/V61</f>
        <v>-3.3297426904686282E-2</v>
      </c>
      <c r="X61" s="23" t="str">
        <f>IF(ABS(W61) &gt;= 0.1, "High Risk",
 IF(ABS(W61) &gt;= 0.05, "Moderate Risk",
 "Low Risk"))</f>
        <v>Low Risk</v>
      </c>
      <c r="Y61" t="str">
        <f>IF(J61&gt;=3,"Yes","No")</f>
        <v>No</v>
      </c>
      <c r="Z61">
        <f>IF(TRIM(S61)="Below Market",1,
 IF(TRIM(S61)="At Market",2,
 IF(TRIM(S61)="Above Market",3,0)))</f>
        <v>1</v>
      </c>
      <c r="AA61" s="26" cm="1">
        <f t="array" ref="AA61">IF($Y61&lt;&gt;"Yes",0,INDEX(Merit_Matrix!$B$2:$D$4,MATCH($J61,Merit_Matrix!$A$2:$A$4,0),Z61))</f>
        <v>0</v>
      </c>
      <c r="AB61" s="41">
        <f>H61*AA61</f>
        <v>0</v>
      </c>
      <c r="AC61" s="41">
        <f>H61+AB61</f>
        <v>82237</v>
      </c>
      <c r="AD61" s="26">
        <f>AC61/O61</f>
        <v>0.61600749063670412</v>
      </c>
      <c r="AE6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62" spans="1:31" x14ac:dyDescent="0.3">
      <c r="A62">
        <v>1059</v>
      </c>
      <c r="B62" t="s">
        <v>27</v>
      </c>
      <c r="C62" t="s">
        <v>26</v>
      </c>
      <c r="D62">
        <v>4</v>
      </c>
      <c r="E62" t="s">
        <v>14</v>
      </c>
      <c r="F62" t="s">
        <v>26</v>
      </c>
      <c r="G62" t="s">
        <v>15</v>
      </c>
      <c r="H62" s="41">
        <v>98457</v>
      </c>
      <c r="I62" t="b">
        <v>1</v>
      </c>
      <c r="J62">
        <v>4</v>
      </c>
      <c r="K62" t="s">
        <v>19</v>
      </c>
      <c r="L62" s="1">
        <v>42920</v>
      </c>
      <c r="M62">
        <v>5</v>
      </c>
      <c r="N62" s="42">
        <f>VLOOKUP(B62,Market_Salary_Benchmarks!$A$1:$G$11,5,FALSE)</f>
        <v>105000</v>
      </c>
      <c r="O62" s="42">
        <f>VLOOKUP(B62,Market_Salary_Benchmarks!$A$1:$G$11,6,FALSE)</f>
        <v>138040</v>
      </c>
      <c r="P62" s="42">
        <f>VLOOKUP(B62,Market_Salary_Benchmarks!$A$1:$G$11,7,FALSE)</f>
        <v>179950</v>
      </c>
      <c r="Q62" s="26">
        <f>H62/O62</f>
        <v>0.71324978267168937</v>
      </c>
      <c r="R62" s="26">
        <f>(H62-N62)/(P62-N62)</f>
        <v>-8.7298198799199464E-2</v>
      </c>
      <c r="S62" s="23" t="str">
        <f>IF(H62 &lt; N62, "Below Market", IF(H62 &gt; P62, "Above Market", "At Market"))</f>
        <v>Below Market</v>
      </c>
      <c r="T62" s="22" t="str">
        <f>B62 &amp; "-" &amp; D62</f>
        <v>Senior Financial Analyst-4</v>
      </c>
      <c r="U62" s="41">
        <f>AVERAGEIFS(H:H, K:K, "Female", B:B, B62, D:D, D62)</f>
        <v>94329.75</v>
      </c>
      <c r="V62" s="41">
        <f>AVERAGEIFS(H:H, K:K, "Male", B:B, B62, D:D, D62)</f>
        <v>94897.166666666672</v>
      </c>
      <c r="W62" s="27">
        <f>(V62-U62)/V62</f>
        <v>5.9792793251643075E-3</v>
      </c>
      <c r="X62" s="23" t="str">
        <f>IF(ABS(W62) &gt;= 0.1, "High Risk",
 IF(ABS(W62) &gt;= 0.05, "Moderate Risk",
 "Low Risk"))</f>
        <v>Low Risk</v>
      </c>
      <c r="Y62" t="str">
        <f>IF(J62&gt;=3,"Yes","No")</f>
        <v>Yes</v>
      </c>
      <c r="Z62">
        <f>IF(TRIM(S62)="Below Market",1,
 IF(TRIM(S62)="At Market",2,
 IF(TRIM(S62)="Above Market",3,0)))</f>
        <v>1</v>
      </c>
      <c r="AA62" s="26" cm="1">
        <f t="array" ref="AA62">IF($Y62&lt;&gt;"Yes",0,INDEX(Merit_Matrix!$B$2:$D$4,MATCH($J62,Merit_Matrix!$A$2:$A$4,0),Z62))</f>
        <v>0.05</v>
      </c>
      <c r="AB62" s="41">
        <f>H62*AA62</f>
        <v>4922.8500000000004</v>
      </c>
      <c r="AC62" s="41">
        <f>H62+AB62</f>
        <v>103379.85</v>
      </c>
      <c r="AD62" s="26">
        <f>AC62/O62</f>
        <v>0.74891227180527387</v>
      </c>
      <c r="AE62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63" spans="1:31" x14ac:dyDescent="0.3">
      <c r="A63">
        <v>1060</v>
      </c>
      <c r="B63" t="s">
        <v>29</v>
      </c>
      <c r="C63" t="s">
        <v>24</v>
      </c>
      <c r="D63">
        <v>2</v>
      </c>
      <c r="E63" t="s">
        <v>14</v>
      </c>
      <c r="F63" t="s">
        <v>24</v>
      </c>
      <c r="G63" t="s">
        <v>15</v>
      </c>
      <c r="H63" s="41">
        <v>57421</v>
      </c>
      <c r="I63" t="b">
        <v>0</v>
      </c>
      <c r="J63">
        <v>3</v>
      </c>
      <c r="K63" t="s">
        <v>16</v>
      </c>
      <c r="L63" s="1">
        <v>44151</v>
      </c>
      <c r="M63">
        <v>6</v>
      </c>
      <c r="N63" s="42">
        <f>VLOOKUP(B63,Market_Salary_Benchmarks!$A$1:$G$11,5,FALSE)</f>
        <v>48890</v>
      </c>
      <c r="O63" s="42">
        <f>VLOOKUP(B63,Market_Salary_Benchmarks!$A$1:$G$11,6,FALSE)</f>
        <v>62770</v>
      </c>
      <c r="P63" s="42">
        <f>VLOOKUP(B63,Market_Salary_Benchmarks!$A$1:$G$11,7,FALSE)</f>
        <v>82990</v>
      </c>
      <c r="Q63" s="26">
        <f>H63/O63</f>
        <v>0.91478413254739521</v>
      </c>
      <c r="R63" s="26">
        <f>(H63-N63)/(P63-N63)</f>
        <v>0.25017595307917889</v>
      </c>
      <c r="S63" s="23" t="str">
        <f>IF(H63 &lt; N63, "Below Market", IF(H63 &gt; P63, "Above Market", "At Market"))</f>
        <v>At Market</v>
      </c>
      <c r="T63" s="22" t="str">
        <f>B63 &amp; "-" &amp; D63</f>
        <v>HR Analyst-2</v>
      </c>
      <c r="U63" s="41">
        <f>AVERAGEIFS(H:H, K:K, "Female", B:B, B63, D:D, D63)</f>
        <v>56635.5</v>
      </c>
      <c r="V63" s="41">
        <f>AVERAGEIFS(H:H, K:K, "Male", B:B, B63, D:D, D63)</f>
        <v>59544.4</v>
      </c>
      <c r="W63" s="27">
        <f>(V63-U63)/V63</f>
        <v>4.8852620901377819E-2</v>
      </c>
      <c r="X63" s="23" t="str">
        <f>IF(ABS(W63) &gt;= 0.1, "High Risk",
 IF(ABS(W63) &gt;= 0.05, "Moderate Risk",
 "Low Risk"))</f>
        <v>Low Risk</v>
      </c>
      <c r="Y63" t="str">
        <f>IF(J63&gt;=3,"Yes","No")</f>
        <v>Yes</v>
      </c>
      <c r="Z63">
        <f>IF(TRIM(S63)="Below Market",1,
 IF(TRIM(S63)="At Market",2,
 IF(TRIM(S63)="Above Market",3,0)))</f>
        <v>2</v>
      </c>
      <c r="AA63" s="26" cm="1">
        <f t="array" ref="AA63">IF($Y63&lt;&gt;"Yes",0,INDEX(Merit_Matrix!$B$2:$D$4,MATCH($J63,Merit_Matrix!$A$2:$A$4,0),Z63))</f>
        <v>0.03</v>
      </c>
      <c r="AB63" s="41">
        <f>H63*AA63</f>
        <v>1722.6299999999999</v>
      </c>
      <c r="AC63" s="41">
        <f>H63+AB63</f>
        <v>59143.63</v>
      </c>
      <c r="AD63" s="26">
        <f>AC63/O63</f>
        <v>0.94222765652381701</v>
      </c>
      <c r="AE6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64" spans="1:31" x14ac:dyDescent="0.3">
      <c r="A64">
        <v>1061</v>
      </c>
      <c r="B64" t="s">
        <v>25</v>
      </c>
      <c r="C64" t="s">
        <v>26</v>
      </c>
      <c r="D64">
        <v>3</v>
      </c>
      <c r="E64" t="s">
        <v>14</v>
      </c>
      <c r="F64" t="s">
        <v>26</v>
      </c>
      <c r="G64" t="s">
        <v>15</v>
      </c>
      <c r="H64" s="41">
        <v>81443</v>
      </c>
      <c r="I64" t="b">
        <v>1</v>
      </c>
      <c r="J64">
        <v>1</v>
      </c>
      <c r="K64" t="s">
        <v>19</v>
      </c>
      <c r="L64" s="1">
        <v>44859</v>
      </c>
      <c r="M64">
        <v>2</v>
      </c>
      <c r="N64" s="42">
        <f>VLOOKUP(B64,Market_Salary_Benchmarks!$A$1:$G$11,5,FALSE)</f>
        <v>49460</v>
      </c>
      <c r="O64" s="42">
        <f>VLOOKUP(B64,Market_Salary_Benchmarks!$A$1:$G$11,6,FALSE)</f>
        <v>78370</v>
      </c>
      <c r="P64" s="42">
        <f>VLOOKUP(B64,Market_Salary_Benchmarks!$A$1:$G$11,7,FALSE)</f>
        <v>104330</v>
      </c>
      <c r="Q64" s="26">
        <f>H64/O64</f>
        <v>1.0392114329462805</v>
      </c>
      <c r="R64" s="26">
        <f>(H64-N64)/(P64-N64)</f>
        <v>0.58288682340076547</v>
      </c>
      <c r="S64" s="23" t="str">
        <f>IF(H64 &lt; N64, "Below Market", IF(H64 &gt; P64, "Above Market", "At Market"))</f>
        <v>At Market</v>
      </c>
      <c r="T64" s="22" t="str">
        <f>B64 &amp; "-" &amp; D64</f>
        <v>Financial Analyst-3</v>
      </c>
      <c r="U64" s="41">
        <f>AVERAGEIFS(H:H, K:K, "Female", B:B, B64, D:D, D64)</f>
        <v>76962.636363636368</v>
      </c>
      <c r="V64" s="41">
        <f>AVERAGEIFS(H:H, K:K, "Male", B:B, B64, D:D, D64)</f>
        <v>77416</v>
      </c>
      <c r="W64" s="27">
        <f>(V64-U64)/V64</f>
        <v>5.8562007383955823E-3</v>
      </c>
      <c r="X64" s="23" t="str">
        <f>IF(ABS(W64) &gt;= 0.1, "High Risk",
 IF(ABS(W64) &gt;= 0.05, "Moderate Risk",
 "Low Risk"))</f>
        <v>Low Risk</v>
      </c>
      <c r="Y64" t="str">
        <f>IF(J64&gt;=3,"Yes","No")</f>
        <v>No</v>
      </c>
      <c r="Z64">
        <f>IF(TRIM(S64)="Below Market",1,
 IF(TRIM(S64)="At Market",2,
 IF(TRIM(S64)="Above Market",3,0)))</f>
        <v>2</v>
      </c>
      <c r="AA64" s="26" cm="1">
        <f t="array" ref="AA64">IF($Y64&lt;&gt;"Yes",0,INDEX(Merit_Matrix!$B$2:$D$4,MATCH($J64,Merit_Matrix!$A$2:$A$4,0),Z64))</f>
        <v>0</v>
      </c>
      <c r="AB64" s="41">
        <f>H64*AA64</f>
        <v>0</v>
      </c>
      <c r="AC64" s="41">
        <f>H64+AB64</f>
        <v>81443</v>
      </c>
      <c r="AD64" s="26">
        <f>AC64/O64</f>
        <v>1.0392114329462805</v>
      </c>
      <c r="AE6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65" spans="1:31" x14ac:dyDescent="0.3">
      <c r="A65">
        <v>1062</v>
      </c>
      <c r="B65" t="s">
        <v>17</v>
      </c>
      <c r="C65" t="s">
        <v>18</v>
      </c>
      <c r="D65">
        <v>2</v>
      </c>
      <c r="E65" t="s">
        <v>14</v>
      </c>
      <c r="F65" t="s">
        <v>18</v>
      </c>
      <c r="G65" t="s">
        <v>15</v>
      </c>
      <c r="H65" s="41">
        <v>59540</v>
      </c>
      <c r="I65" t="b">
        <v>0</v>
      </c>
      <c r="J65">
        <v>5</v>
      </c>
      <c r="K65" t="s">
        <v>16</v>
      </c>
      <c r="L65" s="1">
        <v>43265</v>
      </c>
      <c r="M65">
        <v>12</v>
      </c>
      <c r="N65" s="42">
        <f>VLOOKUP(B65,Market_Salary_Benchmarks!$A$1:$G$11,5,FALSE)</f>
        <v>81130</v>
      </c>
      <c r="O65" s="42">
        <f>VLOOKUP(B65,Market_Salary_Benchmarks!$A$1:$G$11,6,FALSE)</f>
        <v>103730</v>
      </c>
      <c r="P65" s="42">
        <f>VLOOKUP(B65,Market_Salary_Benchmarks!$A$1:$G$11,7,FALSE)</f>
        <v>132670</v>
      </c>
      <c r="Q65" s="26">
        <f>H65/O65</f>
        <v>0.57399016677913817</v>
      </c>
      <c r="R65" s="26">
        <f>(H65-N65)/(P65-N65)</f>
        <v>-0.41889794334497477</v>
      </c>
      <c r="S65" s="23" t="str">
        <f>IF(H65 &lt; N65, "Below Market", IF(H65 &gt; P65, "Above Market", "At Market"))</f>
        <v>Below Market</v>
      </c>
      <c r="T65" s="22" t="str">
        <f>B65 &amp; "-" &amp; D65</f>
        <v>IT Analyst-2</v>
      </c>
      <c r="U65" s="41">
        <f>AVERAGEIFS(H:H, K:K, "Female", B:B, B65, D:D, D65)</f>
        <v>55600.230769230766</v>
      </c>
      <c r="V65" s="41">
        <f>AVERAGEIFS(H:H, K:K, "Male", B:B, B65, D:D, D65)</f>
        <v>58468.727272727272</v>
      </c>
      <c r="W65" s="27">
        <f>(V65-U65)/V65</f>
        <v>4.9060354779340579E-2</v>
      </c>
      <c r="X65" s="23" t="str">
        <f>IF(ABS(W65) &gt;= 0.1, "High Risk",
 IF(ABS(W65) &gt;= 0.05, "Moderate Risk",
 "Low Risk"))</f>
        <v>Low Risk</v>
      </c>
      <c r="Y65" t="str">
        <f>IF(J65&gt;=3,"Yes","No")</f>
        <v>Yes</v>
      </c>
      <c r="Z65">
        <f>IF(TRIM(S65)="Below Market",1,
 IF(TRIM(S65)="At Market",2,
 IF(TRIM(S65)="Above Market",3,0)))</f>
        <v>1</v>
      </c>
      <c r="AA65" s="26" cm="1">
        <f t="array" ref="AA65">IF($Y65&lt;&gt;"Yes",0,INDEX(Merit_Matrix!$B$2:$D$4,MATCH($J65,Merit_Matrix!$A$2:$A$4,0),Z65))</f>
        <v>0.06</v>
      </c>
      <c r="AB65" s="41">
        <f>H65*AA65</f>
        <v>3572.4</v>
      </c>
      <c r="AC65" s="41">
        <f>H65+AB65</f>
        <v>63112.4</v>
      </c>
      <c r="AD65" s="26">
        <f>AC65/O65</f>
        <v>0.60842957678588649</v>
      </c>
      <c r="AE6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66" spans="1:31" x14ac:dyDescent="0.3">
      <c r="A66">
        <v>1063</v>
      </c>
      <c r="B66" t="s">
        <v>25</v>
      </c>
      <c r="C66" t="s">
        <v>26</v>
      </c>
      <c r="D66">
        <v>3</v>
      </c>
      <c r="E66" t="s">
        <v>14</v>
      </c>
      <c r="F66" t="s">
        <v>26</v>
      </c>
      <c r="G66" t="s">
        <v>15</v>
      </c>
      <c r="H66" s="41">
        <v>80123</v>
      </c>
      <c r="I66" t="b">
        <v>1</v>
      </c>
      <c r="J66">
        <v>3</v>
      </c>
      <c r="K66" t="s">
        <v>19</v>
      </c>
      <c r="L66" s="1">
        <v>43326</v>
      </c>
      <c r="M66">
        <v>4</v>
      </c>
      <c r="N66" s="42">
        <f>VLOOKUP(B66,Market_Salary_Benchmarks!$A$1:$G$11,5,FALSE)</f>
        <v>49460</v>
      </c>
      <c r="O66" s="42">
        <f>VLOOKUP(B66,Market_Salary_Benchmarks!$A$1:$G$11,6,FALSE)</f>
        <v>78370</v>
      </c>
      <c r="P66" s="42">
        <f>VLOOKUP(B66,Market_Salary_Benchmarks!$A$1:$G$11,7,FALSE)</f>
        <v>104330</v>
      </c>
      <c r="Q66" s="26">
        <f>H66/O66</f>
        <v>1.0223682531580962</v>
      </c>
      <c r="R66" s="26">
        <f>(H66-N66)/(P66-N66)</f>
        <v>0.55882996172772004</v>
      </c>
      <c r="S66" s="23" t="str">
        <f>IF(H66 &lt; N66, "Below Market", IF(H66 &gt; P66, "Above Market", "At Market"))</f>
        <v>At Market</v>
      </c>
      <c r="T66" s="22" t="str">
        <f>B66 &amp; "-" &amp; D66</f>
        <v>Financial Analyst-3</v>
      </c>
      <c r="U66" s="41">
        <f>AVERAGEIFS(H:H, K:K, "Female", B:B, B66, D:D, D66)</f>
        <v>76962.636363636368</v>
      </c>
      <c r="V66" s="41">
        <f>AVERAGEIFS(H:H, K:K, "Male", B:B, B66, D:D, D66)</f>
        <v>77416</v>
      </c>
      <c r="W66" s="27">
        <f>(V66-U66)/V66</f>
        <v>5.8562007383955823E-3</v>
      </c>
      <c r="X66" s="23" t="str">
        <f>IF(ABS(W66) &gt;= 0.1, "High Risk",
 IF(ABS(W66) &gt;= 0.05, "Moderate Risk",
 "Low Risk"))</f>
        <v>Low Risk</v>
      </c>
      <c r="Y66" t="str">
        <f>IF(J66&gt;=3,"Yes","No")</f>
        <v>Yes</v>
      </c>
      <c r="Z66">
        <f>IF(TRIM(S66)="Below Market",1,
 IF(TRIM(S66)="At Market",2,
 IF(TRIM(S66)="Above Market",3,0)))</f>
        <v>2</v>
      </c>
      <c r="AA66" s="26" cm="1">
        <f t="array" ref="AA66">IF($Y66&lt;&gt;"Yes",0,INDEX(Merit_Matrix!$B$2:$D$4,MATCH($J66,Merit_Matrix!$A$2:$A$4,0),Z66))</f>
        <v>0.03</v>
      </c>
      <c r="AB66" s="41">
        <f>H66*AA66</f>
        <v>2403.69</v>
      </c>
      <c r="AC66" s="41">
        <f>H66+AB66</f>
        <v>82526.69</v>
      </c>
      <c r="AD66" s="26">
        <f>AC66/O66</f>
        <v>1.0530393007528391</v>
      </c>
      <c r="AE6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67" spans="1:31" x14ac:dyDescent="0.3">
      <c r="A67">
        <v>1064</v>
      </c>
      <c r="B67" t="s">
        <v>27</v>
      </c>
      <c r="C67" t="s">
        <v>26</v>
      </c>
      <c r="D67">
        <v>4</v>
      </c>
      <c r="E67" t="s">
        <v>14</v>
      </c>
      <c r="F67" t="s">
        <v>26</v>
      </c>
      <c r="G67" t="s">
        <v>15</v>
      </c>
      <c r="H67" s="41">
        <v>93536</v>
      </c>
      <c r="I67" t="b">
        <v>1</v>
      </c>
      <c r="J67">
        <v>4</v>
      </c>
      <c r="K67" t="s">
        <v>19</v>
      </c>
      <c r="L67" s="1">
        <v>42654</v>
      </c>
      <c r="M67">
        <v>14</v>
      </c>
      <c r="N67" s="42">
        <f>VLOOKUP(B67,Market_Salary_Benchmarks!$A$1:$G$11,5,FALSE)</f>
        <v>105000</v>
      </c>
      <c r="O67" s="42">
        <f>VLOOKUP(B67,Market_Salary_Benchmarks!$A$1:$G$11,6,FALSE)</f>
        <v>138040</v>
      </c>
      <c r="P67" s="42">
        <f>VLOOKUP(B67,Market_Salary_Benchmarks!$A$1:$G$11,7,FALSE)</f>
        <v>179950</v>
      </c>
      <c r="Q67" s="26">
        <f>H67/O67</f>
        <v>0.67760069545059398</v>
      </c>
      <c r="R67" s="26">
        <f>(H67-N67)/(P67-N67)</f>
        <v>-0.15295530353569045</v>
      </c>
      <c r="S67" s="23" t="str">
        <f>IF(H67 &lt; N67, "Below Market", IF(H67 &gt; P67, "Above Market", "At Market"))</f>
        <v>Below Market</v>
      </c>
      <c r="T67" s="22" t="str">
        <f>B67 &amp; "-" &amp; D67</f>
        <v>Senior Financial Analyst-4</v>
      </c>
      <c r="U67" s="41">
        <f>AVERAGEIFS(H:H, K:K, "Female", B:B, B67, D:D, D67)</f>
        <v>94329.75</v>
      </c>
      <c r="V67" s="41">
        <f>AVERAGEIFS(H:H, K:K, "Male", B:B, B67, D:D, D67)</f>
        <v>94897.166666666672</v>
      </c>
      <c r="W67" s="27">
        <f>(V67-U67)/V67</f>
        <v>5.9792793251643075E-3</v>
      </c>
      <c r="X67" s="23" t="str">
        <f>IF(ABS(W67) &gt;= 0.1, "High Risk",
 IF(ABS(W67) &gt;= 0.05, "Moderate Risk",
 "Low Risk"))</f>
        <v>Low Risk</v>
      </c>
      <c r="Y67" t="str">
        <f>IF(J67&gt;=3,"Yes","No")</f>
        <v>Yes</v>
      </c>
      <c r="Z67">
        <f>IF(TRIM(S67)="Below Market",1,
 IF(TRIM(S67)="At Market",2,
 IF(TRIM(S67)="Above Market",3,0)))</f>
        <v>1</v>
      </c>
      <c r="AA67" s="26" cm="1">
        <f t="array" ref="AA67">IF($Y67&lt;&gt;"Yes",0,INDEX(Merit_Matrix!$B$2:$D$4,MATCH($J67,Merit_Matrix!$A$2:$A$4,0),Z67))</f>
        <v>0.05</v>
      </c>
      <c r="AB67" s="41">
        <f>H67*AA67</f>
        <v>4676.8</v>
      </c>
      <c r="AC67" s="41">
        <f>H67+AB67</f>
        <v>98212.800000000003</v>
      </c>
      <c r="AD67" s="26">
        <f>AC67/O67</f>
        <v>0.71148073022312375</v>
      </c>
      <c r="AE67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68" spans="1:31" x14ac:dyDescent="0.3">
      <c r="A68">
        <v>1065</v>
      </c>
      <c r="B68" t="s">
        <v>28</v>
      </c>
      <c r="C68" t="s">
        <v>24</v>
      </c>
      <c r="D68">
        <v>3</v>
      </c>
      <c r="E68" t="s">
        <v>14</v>
      </c>
      <c r="F68" t="s">
        <v>24</v>
      </c>
      <c r="G68" t="s">
        <v>15</v>
      </c>
      <c r="H68" s="41">
        <v>78945</v>
      </c>
      <c r="I68" t="b">
        <v>1</v>
      </c>
      <c r="J68">
        <v>3</v>
      </c>
      <c r="K68" t="s">
        <v>16</v>
      </c>
      <c r="L68" s="1">
        <v>43145</v>
      </c>
      <c r="M68">
        <v>14</v>
      </c>
      <c r="N68" s="42">
        <f>VLOOKUP(B68,Market_Salary_Benchmarks!$A$1:$G$11,5,FALSE)</f>
        <v>50970</v>
      </c>
      <c r="O68" s="42">
        <f>VLOOKUP(B68,Market_Salary_Benchmarks!$A$1:$G$11,6,FALSE)</f>
        <v>56720</v>
      </c>
      <c r="P68" s="42">
        <f>VLOOKUP(B68,Market_Salary_Benchmarks!$A$1:$G$11,7,FALSE)</f>
        <v>75360</v>
      </c>
      <c r="Q68" s="26">
        <f>H68/O68</f>
        <v>1.3918370944992948</v>
      </c>
      <c r="R68" s="26">
        <f>(H68-N68)/(P68-N68)</f>
        <v>1.1469864698646985</v>
      </c>
      <c r="S68" s="23" t="str">
        <f>IF(H68 &lt; N68, "Below Market", IF(H68 &gt; P68, "Above Market", "At Market"))</f>
        <v>Above Market</v>
      </c>
      <c r="T68" s="22" t="str">
        <f>B68 &amp; "-" &amp; D68</f>
        <v>Compensation Analyst-3</v>
      </c>
      <c r="U68" s="41">
        <f>AVERAGEIFS(H:H, K:K, "Female", B:B, B68, D:D, D68)</f>
        <v>76621.166666666672</v>
      </c>
      <c r="V68" s="41">
        <f>AVERAGEIFS(H:H, K:K, "Male", B:B, B68, D:D, D68)</f>
        <v>77763.875</v>
      </c>
      <c r="W68" s="27">
        <f>(V68-U68)/V68</f>
        <v>1.4694590943845436E-2</v>
      </c>
      <c r="X68" s="23" t="str">
        <f>IF(ABS(W68) &gt;= 0.1, "High Risk",
 IF(ABS(W68) &gt;= 0.05, "Moderate Risk",
 "Low Risk"))</f>
        <v>Low Risk</v>
      </c>
      <c r="Y68" t="str">
        <f>IF(J68&gt;=3,"Yes","No")</f>
        <v>Yes</v>
      </c>
      <c r="Z68">
        <f>IF(TRIM(S68)="Below Market",1,
 IF(TRIM(S68)="At Market",2,
 IF(TRIM(S68)="Above Market",3,0)))</f>
        <v>3</v>
      </c>
      <c r="AA68" s="26" cm="1">
        <f t="array" ref="AA68">IF($Y68&lt;&gt;"Yes",0,INDEX(Merit_Matrix!$B$2:$D$4,MATCH($J68,Merit_Matrix!$A$2:$A$4,0),Z68))</f>
        <v>0.02</v>
      </c>
      <c r="AB68" s="41">
        <f>H68*AA68</f>
        <v>1578.9</v>
      </c>
      <c r="AC68" s="41">
        <f>H68+AB68</f>
        <v>80523.899999999994</v>
      </c>
      <c r="AD68" s="26">
        <f>AC68/O68</f>
        <v>1.4196738363892805</v>
      </c>
      <c r="AE68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69" spans="1:31" x14ac:dyDescent="0.3">
      <c r="A69">
        <v>1066</v>
      </c>
      <c r="B69" t="s">
        <v>23</v>
      </c>
      <c r="C69" t="s">
        <v>24</v>
      </c>
      <c r="D69">
        <v>4</v>
      </c>
      <c r="E69" t="s">
        <v>14</v>
      </c>
      <c r="F69" t="s">
        <v>24</v>
      </c>
      <c r="G69" t="s">
        <v>15</v>
      </c>
      <c r="H69" s="41">
        <v>88417</v>
      </c>
      <c r="I69" t="b">
        <v>1</v>
      </c>
      <c r="J69">
        <v>3</v>
      </c>
      <c r="K69" t="s">
        <v>19</v>
      </c>
      <c r="L69" s="1">
        <v>43195</v>
      </c>
      <c r="M69">
        <v>6</v>
      </c>
      <c r="N69" s="42">
        <f>VLOOKUP(B69,Market_Salary_Benchmarks!$A$1:$G$11,5,FALSE)</f>
        <v>82620</v>
      </c>
      <c r="O69" s="42">
        <f>VLOOKUP(B69,Market_Salary_Benchmarks!$A$1:$G$11,6,FALSE)</f>
        <v>110030</v>
      </c>
      <c r="P69" s="42">
        <f>VLOOKUP(B69,Market_Salary_Benchmarks!$A$1:$G$11,7,FALSE)</f>
        <v>146810</v>
      </c>
      <c r="Q69" s="26">
        <f>H69/O69</f>
        <v>0.8035717531582296</v>
      </c>
      <c r="R69" s="26">
        <f>(H69-N69)/(P69-N69)</f>
        <v>9.0310017136625648E-2</v>
      </c>
      <c r="S69" s="23" t="str">
        <f>IF(H69 &lt; N69, "Below Market", IF(H69 &gt; P69, "Above Market", "At Market"))</f>
        <v>At Market</v>
      </c>
      <c r="T69" s="22" t="str">
        <f>B69 &amp; "-" &amp; D69</f>
        <v>HR Manager-4</v>
      </c>
      <c r="U69" s="41">
        <f>AVERAGEIFS(H:H, K:K, "Female", B:B, B69, D:D, D69)</f>
        <v>97910.769230769234</v>
      </c>
      <c r="V69" s="41">
        <f>AVERAGEIFS(H:H, K:K, "Male", B:B, B69, D:D, D69)</f>
        <v>96300.666666666672</v>
      </c>
      <c r="W69" s="27">
        <f>(V69-U69)/V69</f>
        <v>-1.6719537048229805E-2</v>
      </c>
      <c r="X69" s="23" t="str">
        <f>IF(ABS(W69) &gt;= 0.1, "High Risk",
 IF(ABS(W69) &gt;= 0.05, "Moderate Risk",
 "Low Risk"))</f>
        <v>Low Risk</v>
      </c>
      <c r="Y69" t="str">
        <f>IF(J69&gt;=3,"Yes","No")</f>
        <v>Yes</v>
      </c>
      <c r="Z69">
        <f>IF(TRIM(S69)="Below Market",1,
 IF(TRIM(S69)="At Market",2,
 IF(TRIM(S69)="Above Market",3,0)))</f>
        <v>2</v>
      </c>
      <c r="AA69" s="26" cm="1">
        <f t="array" ref="AA69">IF($Y69&lt;&gt;"Yes",0,INDEX(Merit_Matrix!$B$2:$D$4,MATCH($J69,Merit_Matrix!$A$2:$A$4,0),Z69))</f>
        <v>0.03</v>
      </c>
      <c r="AB69" s="41">
        <f>H69*AA69</f>
        <v>2652.5099999999998</v>
      </c>
      <c r="AC69" s="41">
        <f>H69+AB69</f>
        <v>91069.51</v>
      </c>
      <c r="AD69" s="26">
        <f>AC69/O69</f>
        <v>0.82767890575297642</v>
      </c>
      <c r="AE6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70" spans="1:31" x14ac:dyDescent="0.3">
      <c r="A70">
        <v>1067</v>
      </c>
      <c r="B70" t="s">
        <v>28</v>
      </c>
      <c r="C70" t="s">
        <v>24</v>
      </c>
      <c r="D70">
        <v>3</v>
      </c>
      <c r="E70" t="s">
        <v>14</v>
      </c>
      <c r="F70" t="s">
        <v>24</v>
      </c>
      <c r="G70" t="s">
        <v>15</v>
      </c>
      <c r="H70" s="41">
        <v>81338</v>
      </c>
      <c r="I70" t="b">
        <v>1</v>
      </c>
      <c r="J70">
        <v>1</v>
      </c>
      <c r="K70" t="s">
        <v>19</v>
      </c>
      <c r="L70" s="1">
        <v>45178</v>
      </c>
      <c r="M70">
        <v>5</v>
      </c>
      <c r="N70" s="42">
        <f>VLOOKUP(B70,Market_Salary_Benchmarks!$A$1:$G$11,5,FALSE)</f>
        <v>50970</v>
      </c>
      <c r="O70" s="42">
        <f>VLOOKUP(B70,Market_Salary_Benchmarks!$A$1:$G$11,6,FALSE)</f>
        <v>56720</v>
      </c>
      <c r="P70" s="42">
        <f>VLOOKUP(B70,Market_Salary_Benchmarks!$A$1:$G$11,7,FALSE)</f>
        <v>75360</v>
      </c>
      <c r="Q70" s="26">
        <f>H70/O70</f>
        <v>1.4340267983074753</v>
      </c>
      <c r="R70" s="26">
        <f>(H70-N70)/(P70-N70)</f>
        <v>1.2451004510045101</v>
      </c>
      <c r="S70" s="23" t="str">
        <f>IF(H70 &lt; N70, "Below Market", IF(H70 &gt; P70, "Above Market", "At Market"))</f>
        <v>Above Market</v>
      </c>
      <c r="T70" s="22" t="str">
        <f>B70 &amp; "-" &amp; D70</f>
        <v>Compensation Analyst-3</v>
      </c>
      <c r="U70" s="41">
        <f>AVERAGEIFS(H:H, K:K, "Female", B:B, B70, D:D, D70)</f>
        <v>76621.166666666672</v>
      </c>
      <c r="V70" s="41">
        <f>AVERAGEIFS(H:H, K:K, "Male", B:B, B70, D:D, D70)</f>
        <v>77763.875</v>
      </c>
      <c r="W70" s="27">
        <f>(V70-U70)/V70</f>
        <v>1.4694590943845436E-2</v>
      </c>
      <c r="X70" s="23" t="str">
        <f>IF(ABS(W70) &gt;= 0.1, "High Risk",
 IF(ABS(W70) &gt;= 0.05, "Moderate Risk",
 "Low Risk"))</f>
        <v>Low Risk</v>
      </c>
      <c r="Y70" t="str">
        <f>IF(J70&gt;=3,"Yes","No")</f>
        <v>No</v>
      </c>
      <c r="Z70">
        <f>IF(TRIM(S70)="Below Market",1,
 IF(TRIM(S70)="At Market",2,
 IF(TRIM(S70)="Above Market",3,0)))</f>
        <v>3</v>
      </c>
      <c r="AA70" s="26" cm="1">
        <f t="array" ref="AA70">IF($Y70&lt;&gt;"Yes",0,INDEX(Merit_Matrix!$B$2:$D$4,MATCH($J70,Merit_Matrix!$A$2:$A$4,0),Z70))</f>
        <v>0</v>
      </c>
      <c r="AB70" s="41">
        <f>H70*AA70</f>
        <v>0</v>
      </c>
      <c r="AC70" s="41">
        <f>H70+AB70</f>
        <v>81338</v>
      </c>
      <c r="AD70" s="26">
        <f>AC70/O70</f>
        <v>1.4340267983074753</v>
      </c>
      <c r="AE70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71" spans="1:31" x14ac:dyDescent="0.3">
      <c r="A71">
        <v>1068</v>
      </c>
      <c r="B71" t="s">
        <v>23</v>
      </c>
      <c r="C71" t="s">
        <v>24</v>
      </c>
      <c r="D71">
        <v>4</v>
      </c>
      <c r="E71" t="s">
        <v>14</v>
      </c>
      <c r="F71" t="s">
        <v>24</v>
      </c>
      <c r="G71" t="s">
        <v>15</v>
      </c>
      <c r="H71" s="41">
        <v>90967</v>
      </c>
      <c r="I71" t="b">
        <v>1</v>
      </c>
      <c r="J71">
        <v>4</v>
      </c>
      <c r="K71" t="s">
        <v>19</v>
      </c>
      <c r="L71" s="1">
        <v>43492</v>
      </c>
      <c r="M71">
        <v>5</v>
      </c>
      <c r="N71" s="42">
        <f>VLOOKUP(B71,Market_Salary_Benchmarks!$A$1:$G$11,5,FALSE)</f>
        <v>82620</v>
      </c>
      <c r="O71" s="42">
        <f>VLOOKUP(B71,Market_Salary_Benchmarks!$A$1:$G$11,6,FALSE)</f>
        <v>110030</v>
      </c>
      <c r="P71" s="42">
        <f>VLOOKUP(B71,Market_Salary_Benchmarks!$A$1:$G$11,7,FALSE)</f>
        <v>146810</v>
      </c>
      <c r="Q71" s="26">
        <f>H71/O71</f>
        <v>0.82674725074979549</v>
      </c>
      <c r="R71" s="26">
        <f>(H71-N71)/(P71-N71)</f>
        <v>0.13003583112634368</v>
      </c>
      <c r="S71" s="23" t="str">
        <f>IF(H71 &lt; N71, "Below Market", IF(H71 &gt; P71, "Above Market", "At Market"))</f>
        <v>At Market</v>
      </c>
      <c r="T71" s="22" t="str">
        <f>B71 &amp; "-" &amp; D71</f>
        <v>HR Manager-4</v>
      </c>
      <c r="U71" s="41">
        <f>AVERAGEIFS(H:H, K:K, "Female", B:B, B71, D:D, D71)</f>
        <v>97910.769230769234</v>
      </c>
      <c r="V71" s="41">
        <f>AVERAGEIFS(H:H, K:K, "Male", B:B, B71, D:D, D71)</f>
        <v>96300.666666666672</v>
      </c>
      <c r="W71" s="27">
        <f>(V71-U71)/V71</f>
        <v>-1.6719537048229805E-2</v>
      </c>
      <c r="X71" s="23" t="str">
        <f>IF(ABS(W71) &gt;= 0.1, "High Risk",
 IF(ABS(W71) &gt;= 0.05, "Moderate Risk",
 "Low Risk"))</f>
        <v>Low Risk</v>
      </c>
      <c r="Y71" t="str">
        <f>IF(J71&gt;=3,"Yes","No")</f>
        <v>Yes</v>
      </c>
      <c r="Z71">
        <f>IF(TRIM(S71)="Below Market",1,
 IF(TRIM(S71)="At Market",2,
 IF(TRIM(S71)="Above Market",3,0)))</f>
        <v>2</v>
      </c>
      <c r="AA71" s="26" cm="1">
        <f t="array" ref="AA71">IF($Y71&lt;&gt;"Yes",0,INDEX(Merit_Matrix!$B$2:$D$4,MATCH($J71,Merit_Matrix!$A$2:$A$4,0),Z71))</f>
        <v>0.04</v>
      </c>
      <c r="AB71" s="41">
        <f>H71*AA71</f>
        <v>3638.6800000000003</v>
      </c>
      <c r="AC71" s="41">
        <f>H71+AB71</f>
        <v>94605.68</v>
      </c>
      <c r="AD71" s="26">
        <f>AC71/O71</f>
        <v>0.85981714077978721</v>
      </c>
      <c r="AE7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72" spans="1:31" x14ac:dyDescent="0.3">
      <c r="A72">
        <v>1069</v>
      </c>
      <c r="B72" t="s">
        <v>28</v>
      </c>
      <c r="C72" t="s">
        <v>24</v>
      </c>
      <c r="D72">
        <v>3</v>
      </c>
      <c r="E72" t="s">
        <v>14</v>
      </c>
      <c r="F72" t="s">
        <v>24</v>
      </c>
      <c r="G72" t="s">
        <v>15</v>
      </c>
      <c r="H72" s="41">
        <v>72143</v>
      </c>
      <c r="I72" t="b">
        <v>1</v>
      </c>
      <c r="J72">
        <v>3</v>
      </c>
      <c r="K72" t="s">
        <v>16</v>
      </c>
      <c r="L72" s="1">
        <v>43918</v>
      </c>
      <c r="M72">
        <v>8</v>
      </c>
      <c r="N72" s="42">
        <f>VLOOKUP(B72,Market_Salary_Benchmarks!$A$1:$G$11,5,FALSE)</f>
        <v>50970</v>
      </c>
      <c r="O72" s="42">
        <f>VLOOKUP(B72,Market_Salary_Benchmarks!$A$1:$G$11,6,FALSE)</f>
        <v>56720</v>
      </c>
      <c r="P72" s="42">
        <f>VLOOKUP(B72,Market_Salary_Benchmarks!$A$1:$G$11,7,FALSE)</f>
        <v>75360</v>
      </c>
      <c r="Q72" s="26">
        <f>H72/O72</f>
        <v>1.2719146685472495</v>
      </c>
      <c r="R72" s="26">
        <f>(H72-N72)/(P72-N72)</f>
        <v>0.86810168101681018</v>
      </c>
      <c r="S72" s="23" t="str">
        <f>IF(H72 &lt; N72, "Below Market", IF(H72 &gt; P72, "Above Market", "At Market"))</f>
        <v>At Market</v>
      </c>
      <c r="T72" s="22" t="str">
        <f>B72 &amp; "-" &amp; D72</f>
        <v>Compensation Analyst-3</v>
      </c>
      <c r="U72" s="41">
        <f>AVERAGEIFS(H:H, K:K, "Female", B:B, B72, D:D, D72)</f>
        <v>76621.166666666672</v>
      </c>
      <c r="V72" s="41">
        <f>AVERAGEIFS(H:H, K:K, "Male", B:B, B72, D:D, D72)</f>
        <v>77763.875</v>
      </c>
      <c r="W72" s="27">
        <f>(V72-U72)/V72</f>
        <v>1.4694590943845436E-2</v>
      </c>
      <c r="X72" s="23" t="str">
        <f>IF(ABS(W72) &gt;= 0.1, "High Risk",
 IF(ABS(W72) &gt;= 0.05, "Moderate Risk",
 "Low Risk"))</f>
        <v>Low Risk</v>
      </c>
      <c r="Y72" t="str">
        <f>IF(J72&gt;=3,"Yes","No")</f>
        <v>Yes</v>
      </c>
      <c r="Z72">
        <f>IF(TRIM(S72)="Below Market",1,
 IF(TRIM(S72)="At Market",2,
 IF(TRIM(S72)="Above Market",3,0)))</f>
        <v>2</v>
      </c>
      <c r="AA72" s="26" cm="1">
        <f t="array" ref="AA72">IF($Y72&lt;&gt;"Yes",0,INDEX(Merit_Matrix!$B$2:$D$4,MATCH($J72,Merit_Matrix!$A$2:$A$4,0),Z72))</f>
        <v>0.03</v>
      </c>
      <c r="AB72" s="41">
        <f>H72*AA72</f>
        <v>2164.29</v>
      </c>
      <c r="AC72" s="41">
        <f>H72+AB72</f>
        <v>74307.289999999994</v>
      </c>
      <c r="AD72" s="26">
        <f>AC72/O72</f>
        <v>1.3100721086036671</v>
      </c>
      <c r="AE7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73" spans="1:31" x14ac:dyDescent="0.3">
      <c r="A73">
        <v>1070</v>
      </c>
      <c r="B73" t="s">
        <v>22</v>
      </c>
      <c r="C73" t="s">
        <v>18</v>
      </c>
      <c r="D73">
        <v>3</v>
      </c>
      <c r="E73" t="s">
        <v>14</v>
      </c>
      <c r="F73" t="s">
        <v>18</v>
      </c>
      <c r="G73" t="s">
        <v>15</v>
      </c>
      <c r="H73" s="41">
        <v>74968</v>
      </c>
      <c r="I73" t="b">
        <v>1</v>
      </c>
      <c r="J73">
        <v>3</v>
      </c>
      <c r="K73" t="s">
        <v>16</v>
      </c>
      <c r="L73" s="1">
        <v>44273</v>
      </c>
      <c r="M73">
        <v>10</v>
      </c>
      <c r="N73" s="42">
        <f>VLOOKUP(B73,Market_Salary_Benchmarks!$A$1:$G$11,5,FALSE)</f>
        <v>103040</v>
      </c>
      <c r="O73" s="42">
        <f>VLOOKUP(B73,Market_Salary_Benchmarks!$A$1:$G$11,6,FALSE)</f>
        <v>133500</v>
      </c>
      <c r="P73" s="42">
        <f>VLOOKUP(B73,Market_Salary_Benchmarks!$A$1:$G$11,7,FALSE)</f>
        <v>171680</v>
      </c>
      <c r="Q73" s="26">
        <f>H73/O73</f>
        <v>0.56155805243445689</v>
      </c>
      <c r="R73" s="26">
        <f>(H73-N73)/(P73-N73)</f>
        <v>-0.40897435897435896</v>
      </c>
      <c r="S73" s="23" t="str">
        <f>IF(H73 &lt; N73, "Below Market", IF(H73 &gt; P73, "Above Market", "At Market"))</f>
        <v>Below Market</v>
      </c>
      <c r="T73" s="22" t="str">
        <f>B73 &amp; "-" &amp; D73</f>
        <v>Senior IT Analyst-3</v>
      </c>
      <c r="U73" s="41">
        <f>AVERAGEIFS(H:H, K:K, "Female", B:B, B73, D:D, D73)</f>
        <v>78401.571428571435</v>
      </c>
      <c r="V73" s="41">
        <f>AVERAGEIFS(H:H, K:K, "Male", B:B, B73, D:D, D73)</f>
        <v>75875.125</v>
      </c>
      <c r="W73" s="27">
        <f>(V73-U73)/V73</f>
        <v>-3.3297426904686282E-2</v>
      </c>
      <c r="X73" s="23" t="str">
        <f>IF(ABS(W73) &gt;= 0.1, "High Risk",
 IF(ABS(W73) &gt;= 0.05, "Moderate Risk",
 "Low Risk"))</f>
        <v>Low Risk</v>
      </c>
      <c r="Y73" t="str">
        <f>IF(J73&gt;=3,"Yes","No")</f>
        <v>Yes</v>
      </c>
      <c r="Z73">
        <f>IF(TRIM(S73)="Below Market",1,
 IF(TRIM(S73)="At Market",2,
 IF(TRIM(S73)="Above Market",3,0)))</f>
        <v>1</v>
      </c>
      <c r="AA73" s="26" cm="1">
        <f t="array" ref="AA73">IF($Y73&lt;&gt;"Yes",0,INDEX(Merit_Matrix!$B$2:$D$4,MATCH($J73,Merit_Matrix!$A$2:$A$4,0),Z73))</f>
        <v>3.5000000000000003E-2</v>
      </c>
      <c r="AB73" s="41">
        <f>H73*AA73</f>
        <v>2623.88</v>
      </c>
      <c r="AC73" s="41">
        <f>H73+AB73</f>
        <v>77591.88</v>
      </c>
      <c r="AD73" s="26">
        <f>AC73/O73</f>
        <v>0.58121258426966294</v>
      </c>
      <c r="AE7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74" spans="1:31" x14ac:dyDescent="0.3">
      <c r="A74">
        <v>1071</v>
      </c>
      <c r="B74" t="s">
        <v>20</v>
      </c>
      <c r="C74" t="s">
        <v>13</v>
      </c>
      <c r="D74">
        <v>3</v>
      </c>
      <c r="E74" t="s">
        <v>21</v>
      </c>
      <c r="F74" t="s">
        <v>13</v>
      </c>
      <c r="G74" t="s">
        <v>15</v>
      </c>
      <c r="H74" s="41">
        <v>70698</v>
      </c>
      <c r="I74" t="b">
        <v>1</v>
      </c>
      <c r="J74">
        <v>3</v>
      </c>
      <c r="K74" t="s">
        <v>16</v>
      </c>
      <c r="L74" s="1">
        <v>44862</v>
      </c>
      <c r="M74">
        <v>10</v>
      </c>
      <c r="N74" s="42">
        <f>VLOOKUP(B74,Market_Salary_Benchmarks!$A$1:$G$11,5,FALSE)</f>
        <v>52500</v>
      </c>
      <c r="O74" s="42">
        <f>VLOOKUP(B74,Market_Salary_Benchmarks!$A$1:$G$11,6,FALSE)</f>
        <v>67210</v>
      </c>
      <c r="P74" s="42">
        <f>VLOOKUP(B74,Market_Salary_Benchmarks!$A$1:$G$11,7,FALSE)</f>
        <v>83970</v>
      </c>
      <c r="Q74" s="26">
        <f>H74/O74</f>
        <v>1.0518970391310818</v>
      </c>
      <c r="R74" s="26">
        <f>(H74-N74)/(P74-N74)</f>
        <v>0.57826501429933275</v>
      </c>
      <c r="S74" s="23" t="str">
        <f>IF(H74 &lt; N74, "Below Market", IF(H74 &gt; P74, "Above Market", "At Market"))</f>
        <v>At Market</v>
      </c>
      <c r="T74" s="22" t="str">
        <f>B74 &amp; "-" &amp; D74</f>
        <v>Operations Supervisor-3</v>
      </c>
      <c r="U74" s="41">
        <f>AVERAGEIFS(H:H, K:K, "Female", B:B, B74, D:D, D74)</f>
        <v>79072.21428571429</v>
      </c>
      <c r="V74" s="41">
        <f>AVERAGEIFS(H:H, K:K, "Male", B:B, B74, D:D, D74)</f>
        <v>76780.28571428571</v>
      </c>
      <c r="W74" s="27">
        <f>(V74-U74)/V74</f>
        <v>-2.9850482452713045E-2</v>
      </c>
      <c r="X74" s="23" t="str">
        <f>IF(ABS(W74) &gt;= 0.1, "High Risk",
 IF(ABS(W74) &gt;= 0.05, "Moderate Risk",
 "Low Risk"))</f>
        <v>Low Risk</v>
      </c>
      <c r="Y74" t="str">
        <f>IF(J74&gt;=3,"Yes","No")</f>
        <v>Yes</v>
      </c>
      <c r="Z74">
        <f>IF(TRIM(S74)="Below Market",1,
 IF(TRIM(S74)="At Market",2,
 IF(TRIM(S74)="Above Market",3,0)))</f>
        <v>2</v>
      </c>
      <c r="AA74" s="26" cm="1">
        <f t="array" ref="AA74">IF($Y74&lt;&gt;"Yes",0,INDEX(Merit_Matrix!$B$2:$D$4,MATCH($J74,Merit_Matrix!$A$2:$A$4,0),Z74))</f>
        <v>0.03</v>
      </c>
      <c r="AB74" s="41">
        <f>H74*AA74</f>
        <v>2120.94</v>
      </c>
      <c r="AC74" s="41">
        <f>H74+AB74</f>
        <v>72818.94</v>
      </c>
      <c r="AD74" s="26">
        <f>AC74/O74</f>
        <v>1.0834539503050142</v>
      </c>
      <c r="AE7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75" spans="1:31" x14ac:dyDescent="0.3">
      <c r="A75">
        <v>1072</v>
      </c>
      <c r="B75" t="s">
        <v>30</v>
      </c>
      <c r="C75" t="s">
        <v>24</v>
      </c>
      <c r="D75">
        <v>2</v>
      </c>
      <c r="E75" t="s">
        <v>21</v>
      </c>
      <c r="F75" t="s">
        <v>24</v>
      </c>
      <c r="G75" t="s">
        <v>15</v>
      </c>
      <c r="H75" s="41">
        <v>54171</v>
      </c>
      <c r="I75" t="b">
        <v>0</v>
      </c>
      <c r="J75">
        <v>5</v>
      </c>
      <c r="K75" t="s">
        <v>19</v>
      </c>
      <c r="L75" s="1">
        <v>43220</v>
      </c>
      <c r="M75">
        <v>11</v>
      </c>
      <c r="N75" s="42">
        <f>VLOOKUP(B75,Market_Salary_Benchmarks!$A$1:$G$11,5,FALSE)</f>
        <v>37930</v>
      </c>
      <c r="O75" s="42">
        <f>VLOOKUP(B75,Market_Salary_Benchmarks!$A$1:$G$11,6,FALSE)</f>
        <v>45470</v>
      </c>
      <c r="P75" s="42">
        <f>VLOOKUP(B75,Market_Salary_Benchmarks!$A$1:$G$11,7,FALSE)</f>
        <v>54160</v>
      </c>
      <c r="Q75" s="26">
        <f>H75/O75</f>
        <v>1.191356938640862</v>
      </c>
      <c r="R75" s="26">
        <f>(H75-N75)/(P75-N75)</f>
        <v>1.0006777572396797</v>
      </c>
      <c r="S75" s="23" t="str">
        <f>IF(H75 &lt; N75, "Below Market", IF(H75 &gt; P75, "Above Market", "At Market"))</f>
        <v>Above Market</v>
      </c>
      <c r="T75" s="22" t="str">
        <f>B75 &amp; "-" &amp; D75</f>
        <v>Payroll Specialist-2</v>
      </c>
      <c r="U75" s="41">
        <f>AVERAGEIFS(H:H, K:K, "Female", B:B, B75, D:D, D75)</f>
        <v>58334.555555555555</v>
      </c>
      <c r="V75" s="41">
        <f>AVERAGEIFS(H:H, K:K, "Male", B:B, B75, D:D, D75)</f>
        <v>56264.5</v>
      </c>
      <c r="W75" s="27">
        <f>(V75-U75)/V75</f>
        <v>-3.6791503622276123E-2</v>
      </c>
      <c r="X75" s="23" t="str">
        <f>IF(ABS(W75) &gt;= 0.1, "High Risk",
 IF(ABS(W75) &gt;= 0.05, "Moderate Risk",
 "Low Risk"))</f>
        <v>Low Risk</v>
      </c>
      <c r="Y75" t="str">
        <f>IF(J75&gt;=3,"Yes","No")</f>
        <v>Yes</v>
      </c>
      <c r="Z75">
        <f>IF(TRIM(S75)="Below Market",1,
 IF(TRIM(S75)="At Market",2,
 IF(TRIM(S75)="Above Market",3,0)))</f>
        <v>3</v>
      </c>
      <c r="AA75" s="26" cm="1">
        <f t="array" ref="AA75">IF($Y75&lt;&gt;"Yes",0,INDEX(Merit_Matrix!$B$2:$D$4,MATCH($J75,Merit_Matrix!$A$2:$A$4,0),Z75))</f>
        <v>0.04</v>
      </c>
      <c r="AB75" s="41">
        <f>H75*AA75</f>
        <v>2166.84</v>
      </c>
      <c r="AC75" s="41">
        <f>H75+AB75</f>
        <v>56337.84</v>
      </c>
      <c r="AD75" s="26">
        <f>AC75/O75</f>
        <v>1.2390112161864966</v>
      </c>
      <c r="AE75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76" spans="1:31" x14ac:dyDescent="0.3">
      <c r="A76">
        <v>1073</v>
      </c>
      <c r="B76" t="s">
        <v>27</v>
      </c>
      <c r="C76" t="s">
        <v>26</v>
      </c>
      <c r="D76">
        <v>4</v>
      </c>
      <c r="E76" t="s">
        <v>14</v>
      </c>
      <c r="F76" t="s">
        <v>26</v>
      </c>
      <c r="G76" t="s">
        <v>15</v>
      </c>
      <c r="H76" s="41">
        <v>92491</v>
      </c>
      <c r="I76" t="b">
        <v>1</v>
      </c>
      <c r="J76">
        <v>3</v>
      </c>
      <c r="K76" t="s">
        <v>19</v>
      </c>
      <c r="L76" s="1">
        <v>43862</v>
      </c>
      <c r="M76">
        <v>5</v>
      </c>
      <c r="N76" s="42">
        <f>VLOOKUP(B76,Market_Salary_Benchmarks!$A$1:$G$11,5,FALSE)</f>
        <v>105000</v>
      </c>
      <c r="O76" s="42">
        <f>VLOOKUP(B76,Market_Salary_Benchmarks!$A$1:$G$11,6,FALSE)</f>
        <v>138040</v>
      </c>
      <c r="P76" s="42">
        <f>VLOOKUP(B76,Market_Salary_Benchmarks!$A$1:$G$11,7,FALSE)</f>
        <v>179950</v>
      </c>
      <c r="Q76" s="26">
        <f>H76/O76</f>
        <v>0.67003042596348883</v>
      </c>
      <c r="R76" s="26">
        <f>(H76-N76)/(P76-N76)</f>
        <v>-0.16689793195463642</v>
      </c>
      <c r="S76" s="23" t="str">
        <f>IF(H76 &lt; N76, "Below Market", IF(H76 &gt; P76, "Above Market", "At Market"))</f>
        <v>Below Market</v>
      </c>
      <c r="T76" s="22" t="str">
        <f>B76 &amp; "-" &amp; D76</f>
        <v>Senior Financial Analyst-4</v>
      </c>
      <c r="U76" s="41">
        <f>AVERAGEIFS(H:H, K:K, "Female", B:B, B76, D:D, D76)</f>
        <v>94329.75</v>
      </c>
      <c r="V76" s="41">
        <f>AVERAGEIFS(H:H, K:K, "Male", B:B, B76, D:D, D76)</f>
        <v>94897.166666666672</v>
      </c>
      <c r="W76" s="27">
        <f>(V76-U76)/V76</f>
        <v>5.9792793251643075E-3</v>
      </c>
      <c r="X76" s="23" t="str">
        <f>IF(ABS(W76) &gt;= 0.1, "High Risk",
 IF(ABS(W76) &gt;= 0.05, "Moderate Risk",
 "Low Risk"))</f>
        <v>Low Risk</v>
      </c>
      <c r="Y76" t="str">
        <f>IF(J76&gt;=3,"Yes","No")</f>
        <v>Yes</v>
      </c>
      <c r="Z76">
        <f>IF(TRIM(S76)="Below Market",1,
 IF(TRIM(S76)="At Market",2,
 IF(TRIM(S76)="Above Market",3,0)))</f>
        <v>1</v>
      </c>
      <c r="AA76" s="26" cm="1">
        <f t="array" ref="AA76">IF($Y76&lt;&gt;"Yes",0,INDEX(Merit_Matrix!$B$2:$D$4,MATCH($J76,Merit_Matrix!$A$2:$A$4,0),Z76))</f>
        <v>3.5000000000000003E-2</v>
      </c>
      <c r="AB76" s="41">
        <f>H76*AA76</f>
        <v>3237.1850000000004</v>
      </c>
      <c r="AC76" s="41">
        <f>H76+AB76</f>
        <v>95728.184999999998</v>
      </c>
      <c r="AD76" s="26">
        <f>AC76/O76</f>
        <v>0.69348149087221089</v>
      </c>
      <c r="AE76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77" spans="1:31" x14ac:dyDescent="0.3">
      <c r="A77">
        <v>1074</v>
      </c>
      <c r="B77" t="s">
        <v>27</v>
      </c>
      <c r="C77" t="s">
        <v>26</v>
      </c>
      <c r="D77">
        <v>4</v>
      </c>
      <c r="E77" t="s">
        <v>14</v>
      </c>
      <c r="F77" t="s">
        <v>26</v>
      </c>
      <c r="G77" t="s">
        <v>15</v>
      </c>
      <c r="H77" s="41">
        <v>89062</v>
      </c>
      <c r="I77" t="b">
        <v>1</v>
      </c>
      <c r="J77">
        <v>2</v>
      </c>
      <c r="K77" t="s">
        <v>16</v>
      </c>
      <c r="L77" s="1">
        <v>43579</v>
      </c>
      <c r="M77">
        <v>8</v>
      </c>
      <c r="N77" s="42">
        <f>VLOOKUP(B77,Market_Salary_Benchmarks!$A$1:$G$11,5,FALSE)</f>
        <v>105000</v>
      </c>
      <c r="O77" s="42">
        <f>VLOOKUP(B77,Market_Salary_Benchmarks!$A$1:$G$11,6,FALSE)</f>
        <v>138040</v>
      </c>
      <c r="P77" s="42">
        <f>VLOOKUP(B77,Market_Salary_Benchmarks!$A$1:$G$11,7,FALSE)</f>
        <v>179950</v>
      </c>
      <c r="Q77" s="26">
        <f>H77/O77</f>
        <v>0.64518980005795423</v>
      </c>
      <c r="R77" s="26">
        <f>(H77-N77)/(P77-N77)</f>
        <v>-0.21264843228819214</v>
      </c>
      <c r="S77" s="23" t="str">
        <f>IF(H77 &lt; N77, "Below Market", IF(H77 &gt; P77, "Above Market", "At Market"))</f>
        <v>Below Market</v>
      </c>
      <c r="T77" s="22" t="str">
        <f>B77 &amp; "-" &amp; D77</f>
        <v>Senior Financial Analyst-4</v>
      </c>
      <c r="U77" s="41">
        <f>AVERAGEIFS(H:H, K:K, "Female", B:B, B77, D:D, D77)</f>
        <v>94329.75</v>
      </c>
      <c r="V77" s="41">
        <f>AVERAGEIFS(H:H, K:K, "Male", B:B, B77, D:D, D77)</f>
        <v>94897.166666666672</v>
      </c>
      <c r="W77" s="27">
        <f>(V77-U77)/V77</f>
        <v>5.9792793251643075E-3</v>
      </c>
      <c r="X77" s="23" t="str">
        <f>IF(ABS(W77) &gt;= 0.1, "High Risk",
 IF(ABS(W77) &gt;= 0.05, "Moderate Risk",
 "Low Risk"))</f>
        <v>Low Risk</v>
      </c>
      <c r="Y77" t="str">
        <f>IF(J77&gt;=3,"Yes","No")</f>
        <v>No</v>
      </c>
      <c r="Z77">
        <f>IF(TRIM(S77)="Below Market",1,
 IF(TRIM(S77)="At Market",2,
 IF(TRIM(S77)="Above Market",3,0)))</f>
        <v>1</v>
      </c>
      <c r="AA77" s="26" cm="1">
        <f t="array" ref="AA77">IF($Y77&lt;&gt;"Yes",0,INDEX(Merit_Matrix!$B$2:$D$4,MATCH($J77,Merit_Matrix!$A$2:$A$4,0),Z77))</f>
        <v>0</v>
      </c>
      <c r="AB77" s="41">
        <f>H77*AA77</f>
        <v>0</v>
      </c>
      <c r="AC77" s="41">
        <f>H77+AB77</f>
        <v>89062</v>
      </c>
      <c r="AD77" s="26">
        <f>AC77/O77</f>
        <v>0.64518980005795423</v>
      </c>
      <c r="AE77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78" spans="1:31" x14ac:dyDescent="0.3">
      <c r="A78">
        <v>1075</v>
      </c>
      <c r="B78" t="s">
        <v>23</v>
      </c>
      <c r="C78" t="s">
        <v>24</v>
      </c>
      <c r="D78">
        <v>4</v>
      </c>
      <c r="E78" t="s">
        <v>14</v>
      </c>
      <c r="F78" t="s">
        <v>24</v>
      </c>
      <c r="G78" t="s">
        <v>15</v>
      </c>
      <c r="H78" s="41">
        <v>93334</v>
      </c>
      <c r="I78" t="b">
        <v>1</v>
      </c>
      <c r="J78">
        <v>3</v>
      </c>
      <c r="K78" t="s">
        <v>19</v>
      </c>
      <c r="L78" s="1">
        <v>45075</v>
      </c>
      <c r="M78">
        <v>13</v>
      </c>
      <c r="N78" s="42">
        <f>VLOOKUP(B78,Market_Salary_Benchmarks!$A$1:$G$11,5,FALSE)</f>
        <v>82620</v>
      </c>
      <c r="O78" s="42">
        <f>VLOOKUP(B78,Market_Salary_Benchmarks!$A$1:$G$11,6,FALSE)</f>
        <v>110030</v>
      </c>
      <c r="P78" s="42">
        <f>VLOOKUP(B78,Market_Salary_Benchmarks!$A$1:$G$11,7,FALSE)</f>
        <v>146810</v>
      </c>
      <c r="Q78" s="26">
        <f>H78/O78</f>
        <v>0.84825956557302551</v>
      </c>
      <c r="R78" s="26">
        <f>(H78-N78)/(P78-N78)</f>
        <v>0.16691073375915252</v>
      </c>
      <c r="S78" s="23" t="str">
        <f>IF(H78 &lt; N78, "Below Market", IF(H78 &gt; P78, "Above Market", "At Market"))</f>
        <v>At Market</v>
      </c>
      <c r="T78" s="22" t="str">
        <f>B78 &amp; "-" &amp; D78</f>
        <v>HR Manager-4</v>
      </c>
      <c r="U78" s="41">
        <f>AVERAGEIFS(H:H, K:K, "Female", B:B, B78, D:D, D78)</f>
        <v>97910.769230769234</v>
      </c>
      <c r="V78" s="41">
        <f>AVERAGEIFS(H:H, K:K, "Male", B:B, B78, D:D, D78)</f>
        <v>96300.666666666672</v>
      </c>
      <c r="W78" s="27">
        <f>(V78-U78)/V78</f>
        <v>-1.6719537048229805E-2</v>
      </c>
      <c r="X78" s="23" t="str">
        <f>IF(ABS(W78) &gt;= 0.1, "High Risk",
 IF(ABS(W78) &gt;= 0.05, "Moderate Risk",
 "Low Risk"))</f>
        <v>Low Risk</v>
      </c>
      <c r="Y78" t="str">
        <f>IF(J78&gt;=3,"Yes","No")</f>
        <v>Yes</v>
      </c>
      <c r="Z78">
        <f>IF(TRIM(S78)="Below Market",1,
 IF(TRIM(S78)="At Market",2,
 IF(TRIM(S78)="Above Market",3,0)))</f>
        <v>2</v>
      </c>
      <c r="AA78" s="26" cm="1">
        <f t="array" ref="AA78">IF($Y78&lt;&gt;"Yes",0,INDEX(Merit_Matrix!$B$2:$D$4,MATCH($J78,Merit_Matrix!$A$2:$A$4,0),Z78))</f>
        <v>0.03</v>
      </c>
      <c r="AB78" s="41">
        <f>H78*AA78</f>
        <v>2800.02</v>
      </c>
      <c r="AC78" s="41">
        <f>H78+AB78</f>
        <v>96134.02</v>
      </c>
      <c r="AD78" s="26">
        <f>AC78/O78</f>
        <v>0.87370735254021636</v>
      </c>
      <c r="AE7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79" spans="1:31" x14ac:dyDescent="0.3">
      <c r="A79">
        <v>1076</v>
      </c>
      <c r="B79" t="s">
        <v>22</v>
      </c>
      <c r="C79" t="s">
        <v>18</v>
      </c>
      <c r="D79">
        <v>3</v>
      </c>
      <c r="E79" t="s">
        <v>14</v>
      </c>
      <c r="F79" t="s">
        <v>18</v>
      </c>
      <c r="G79" t="s">
        <v>15</v>
      </c>
      <c r="H79" s="41">
        <v>70953</v>
      </c>
      <c r="I79" t="b">
        <v>1</v>
      </c>
      <c r="J79">
        <v>4</v>
      </c>
      <c r="K79" t="s">
        <v>16</v>
      </c>
      <c r="L79" s="1">
        <v>43912</v>
      </c>
      <c r="M79">
        <v>14</v>
      </c>
      <c r="N79" s="42">
        <f>VLOOKUP(B79,Market_Salary_Benchmarks!$A$1:$G$11,5,FALSE)</f>
        <v>103040</v>
      </c>
      <c r="O79" s="42">
        <f>VLOOKUP(B79,Market_Salary_Benchmarks!$A$1:$G$11,6,FALSE)</f>
        <v>133500</v>
      </c>
      <c r="P79" s="42">
        <f>VLOOKUP(B79,Market_Salary_Benchmarks!$A$1:$G$11,7,FALSE)</f>
        <v>171680</v>
      </c>
      <c r="Q79" s="26">
        <f>H79/O79</f>
        <v>0.53148314606741576</v>
      </c>
      <c r="R79" s="26">
        <f>(H79-N79)/(P79-N79)</f>
        <v>-0.46746794871794872</v>
      </c>
      <c r="S79" s="23" t="str">
        <f>IF(H79 &lt; N79, "Below Market", IF(H79 &gt; P79, "Above Market", "At Market"))</f>
        <v>Below Market</v>
      </c>
      <c r="T79" s="22" t="str">
        <f>B79 &amp; "-" &amp; D79</f>
        <v>Senior IT Analyst-3</v>
      </c>
      <c r="U79" s="41">
        <f>AVERAGEIFS(H:H, K:K, "Female", B:B, B79, D:D, D79)</f>
        <v>78401.571428571435</v>
      </c>
      <c r="V79" s="41">
        <f>AVERAGEIFS(H:H, K:K, "Male", B:B, B79, D:D, D79)</f>
        <v>75875.125</v>
      </c>
      <c r="W79" s="27">
        <f>(V79-U79)/V79</f>
        <v>-3.3297426904686282E-2</v>
      </c>
      <c r="X79" s="23" t="str">
        <f>IF(ABS(W79) &gt;= 0.1, "High Risk",
 IF(ABS(W79) &gt;= 0.05, "Moderate Risk",
 "Low Risk"))</f>
        <v>Low Risk</v>
      </c>
      <c r="Y79" t="str">
        <f>IF(J79&gt;=3,"Yes","No")</f>
        <v>Yes</v>
      </c>
      <c r="Z79">
        <f>IF(TRIM(S79)="Below Market",1,
 IF(TRIM(S79)="At Market",2,
 IF(TRIM(S79)="Above Market",3,0)))</f>
        <v>1</v>
      </c>
      <c r="AA79" s="26" cm="1">
        <f t="array" ref="AA79">IF($Y79&lt;&gt;"Yes",0,INDEX(Merit_Matrix!$B$2:$D$4,MATCH($J79,Merit_Matrix!$A$2:$A$4,0),Z79))</f>
        <v>0.05</v>
      </c>
      <c r="AB79" s="41">
        <f>H79*AA79</f>
        <v>3547.65</v>
      </c>
      <c r="AC79" s="41">
        <f>H79+AB79</f>
        <v>74500.649999999994</v>
      </c>
      <c r="AD79" s="26">
        <f>AC79/O79</f>
        <v>0.55805730337078652</v>
      </c>
      <c r="AE79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80" spans="1:31" x14ac:dyDescent="0.3">
      <c r="A80">
        <v>1077</v>
      </c>
      <c r="B80" t="s">
        <v>17</v>
      </c>
      <c r="C80" t="s">
        <v>18</v>
      </c>
      <c r="D80">
        <v>2</v>
      </c>
      <c r="E80" t="s">
        <v>14</v>
      </c>
      <c r="F80" t="s">
        <v>18</v>
      </c>
      <c r="G80" t="s">
        <v>15</v>
      </c>
      <c r="H80" s="41">
        <v>56313</v>
      </c>
      <c r="I80" t="b">
        <v>0</v>
      </c>
      <c r="J80">
        <v>4</v>
      </c>
      <c r="K80" t="s">
        <v>16</v>
      </c>
      <c r="L80" s="1">
        <v>42869</v>
      </c>
      <c r="M80">
        <v>2</v>
      </c>
      <c r="N80" s="42">
        <f>VLOOKUP(B80,Market_Salary_Benchmarks!$A$1:$G$11,5,FALSE)</f>
        <v>81130</v>
      </c>
      <c r="O80" s="42">
        <f>VLOOKUP(B80,Market_Salary_Benchmarks!$A$1:$G$11,6,FALSE)</f>
        <v>103730</v>
      </c>
      <c r="P80" s="42">
        <f>VLOOKUP(B80,Market_Salary_Benchmarks!$A$1:$G$11,7,FALSE)</f>
        <v>132670</v>
      </c>
      <c r="Q80" s="26">
        <f>H80/O80</f>
        <v>0.54288055528776635</v>
      </c>
      <c r="R80" s="26">
        <f>(H80-N80)/(P80-N80)</f>
        <v>-0.48150950717889018</v>
      </c>
      <c r="S80" s="23" t="str">
        <f>IF(H80 &lt; N80, "Below Market", IF(H80 &gt; P80, "Above Market", "At Market"))</f>
        <v>Below Market</v>
      </c>
      <c r="T80" s="22" t="str">
        <f>B80 &amp; "-" &amp; D80</f>
        <v>IT Analyst-2</v>
      </c>
      <c r="U80" s="41">
        <f>AVERAGEIFS(H:H, K:K, "Female", B:B, B80, D:D, D80)</f>
        <v>55600.230769230766</v>
      </c>
      <c r="V80" s="41">
        <f>AVERAGEIFS(H:H, K:K, "Male", B:B, B80, D:D, D80)</f>
        <v>58468.727272727272</v>
      </c>
      <c r="W80" s="27">
        <f>(V80-U80)/V80</f>
        <v>4.9060354779340579E-2</v>
      </c>
      <c r="X80" s="23" t="str">
        <f>IF(ABS(W80) &gt;= 0.1, "High Risk",
 IF(ABS(W80) &gt;= 0.05, "Moderate Risk",
 "Low Risk"))</f>
        <v>Low Risk</v>
      </c>
      <c r="Y80" t="str">
        <f>IF(J80&gt;=3,"Yes","No")</f>
        <v>Yes</v>
      </c>
      <c r="Z80">
        <f>IF(TRIM(S80)="Below Market",1,
 IF(TRIM(S80)="At Market",2,
 IF(TRIM(S80)="Above Market",3,0)))</f>
        <v>1</v>
      </c>
      <c r="AA80" s="26" cm="1">
        <f t="array" ref="AA80">IF($Y80&lt;&gt;"Yes",0,INDEX(Merit_Matrix!$B$2:$D$4,MATCH($J80,Merit_Matrix!$A$2:$A$4,0),Z80))</f>
        <v>0.05</v>
      </c>
      <c r="AB80" s="41">
        <f>H80*AA80</f>
        <v>2815.65</v>
      </c>
      <c r="AC80" s="41">
        <f>H80+AB80</f>
        <v>59128.65</v>
      </c>
      <c r="AD80" s="26">
        <f>AC80/O80</f>
        <v>0.57002458305215464</v>
      </c>
      <c r="AE80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81" spans="1:31" x14ac:dyDescent="0.3">
      <c r="A81">
        <v>1078</v>
      </c>
      <c r="B81" t="s">
        <v>12</v>
      </c>
      <c r="C81" t="s">
        <v>13</v>
      </c>
      <c r="D81">
        <v>4</v>
      </c>
      <c r="E81" t="s">
        <v>14</v>
      </c>
      <c r="F81" t="s">
        <v>13</v>
      </c>
      <c r="G81" t="s">
        <v>15</v>
      </c>
      <c r="H81" s="41">
        <v>91141</v>
      </c>
      <c r="I81" t="b">
        <v>1</v>
      </c>
      <c r="J81">
        <v>4</v>
      </c>
      <c r="K81" t="s">
        <v>19</v>
      </c>
      <c r="L81" s="1">
        <v>44862</v>
      </c>
      <c r="M81">
        <v>13</v>
      </c>
      <c r="N81" s="42">
        <f>VLOOKUP(B81,Market_Salary_Benchmarks!$A$1:$G$11,5,FALSE)</f>
        <v>74720</v>
      </c>
      <c r="O81" s="42">
        <f>VLOOKUP(B81,Market_Salary_Benchmarks!$A$1:$G$11,6,FALSE)</f>
        <v>106330</v>
      </c>
      <c r="P81" s="42">
        <f>VLOOKUP(B81,Market_Salary_Benchmarks!$A$1:$G$11,7,FALSE)</f>
        <v>162780</v>
      </c>
      <c r="Q81" s="26">
        <f>H81/O81</f>
        <v>0.85715226182638959</v>
      </c>
      <c r="R81" s="26">
        <f>(H81-N81)/(P81-N81)</f>
        <v>0.18647513059277765</v>
      </c>
      <c r="S81" s="23" t="str">
        <f>IF(H81 &lt; N81, "Below Market", IF(H81 &gt; P81, "Above Market", "At Market"))</f>
        <v>At Market</v>
      </c>
      <c r="T81" s="22" t="str">
        <f>B81 &amp; "-" &amp; D81</f>
        <v>Operations Manager-4</v>
      </c>
      <c r="U81" s="41">
        <f>AVERAGEIFS(H:H, K:K, "Female", B:B, B81, D:D, D81)</f>
        <v>96094.111111111109</v>
      </c>
      <c r="V81" s="41">
        <f>AVERAGEIFS(H:H, K:K, "Male", B:B, B81, D:D, D81)</f>
        <v>95248.28571428571</v>
      </c>
      <c r="W81" s="27">
        <f>(V81-U81)/V81</f>
        <v>-8.8802164835029597E-3</v>
      </c>
      <c r="X81" s="23" t="str">
        <f>IF(ABS(W81) &gt;= 0.1, "High Risk",
 IF(ABS(W81) &gt;= 0.05, "Moderate Risk",
 "Low Risk"))</f>
        <v>Low Risk</v>
      </c>
      <c r="Y81" t="str">
        <f>IF(J81&gt;=3,"Yes","No")</f>
        <v>Yes</v>
      </c>
      <c r="Z81">
        <f>IF(TRIM(S81)="Below Market",1,
 IF(TRIM(S81)="At Market",2,
 IF(TRIM(S81)="Above Market",3,0)))</f>
        <v>2</v>
      </c>
      <c r="AA81" s="26" cm="1">
        <f t="array" ref="AA81">IF($Y81&lt;&gt;"Yes",0,INDEX(Merit_Matrix!$B$2:$D$4,MATCH($J81,Merit_Matrix!$A$2:$A$4,0),Z81))</f>
        <v>0.04</v>
      </c>
      <c r="AB81" s="41">
        <f>H81*AA81</f>
        <v>3645.64</v>
      </c>
      <c r="AC81" s="41">
        <f>H81+AB81</f>
        <v>94786.64</v>
      </c>
      <c r="AD81" s="26">
        <f>AC81/O81</f>
        <v>0.89143835229944512</v>
      </c>
      <c r="AE8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82" spans="1:31" x14ac:dyDescent="0.3">
      <c r="A82">
        <v>1079</v>
      </c>
      <c r="B82" t="s">
        <v>20</v>
      </c>
      <c r="C82" t="s">
        <v>13</v>
      </c>
      <c r="D82">
        <v>3</v>
      </c>
      <c r="E82" t="s">
        <v>21</v>
      </c>
      <c r="F82" t="s">
        <v>13</v>
      </c>
      <c r="G82" t="s">
        <v>15</v>
      </c>
      <c r="H82" s="41">
        <v>74186</v>
      </c>
      <c r="I82" t="b">
        <v>1</v>
      </c>
      <c r="J82">
        <v>3</v>
      </c>
      <c r="K82" t="s">
        <v>19</v>
      </c>
      <c r="L82" s="1">
        <v>43123</v>
      </c>
      <c r="M82">
        <v>13</v>
      </c>
      <c r="N82" s="42">
        <f>VLOOKUP(B82,Market_Salary_Benchmarks!$A$1:$G$11,5,FALSE)</f>
        <v>52500</v>
      </c>
      <c r="O82" s="42">
        <f>VLOOKUP(B82,Market_Salary_Benchmarks!$A$1:$G$11,6,FALSE)</f>
        <v>67210</v>
      </c>
      <c r="P82" s="42">
        <f>VLOOKUP(B82,Market_Salary_Benchmarks!$A$1:$G$11,7,FALSE)</f>
        <v>83970</v>
      </c>
      <c r="Q82" s="26">
        <f>H82/O82</f>
        <v>1.1037940782621634</v>
      </c>
      <c r="R82" s="26">
        <f>(H82-N82)/(P82-N82)</f>
        <v>0.6891007308547823</v>
      </c>
      <c r="S82" s="23" t="str">
        <f>IF(H82 &lt; N82, "Below Market", IF(H82 &gt; P82, "Above Market", "At Market"))</f>
        <v>At Market</v>
      </c>
      <c r="T82" s="22" t="str">
        <f>B82 &amp; "-" &amp; D82</f>
        <v>Operations Supervisor-3</v>
      </c>
      <c r="U82" s="41">
        <f>AVERAGEIFS(H:H, K:K, "Female", B:B, B82, D:D, D82)</f>
        <v>79072.21428571429</v>
      </c>
      <c r="V82" s="41">
        <f>AVERAGEIFS(H:H, K:K, "Male", B:B, B82, D:D, D82)</f>
        <v>76780.28571428571</v>
      </c>
      <c r="W82" s="27">
        <f>(V82-U82)/V82</f>
        <v>-2.9850482452713045E-2</v>
      </c>
      <c r="X82" s="23" t="str">
        <f>IF(ABS(W82) &gt;= 0.1, "High Risk",
 IF(ABS(W82) &gt;= 0.05, "Moderate Risk",
 "Low Risk"))</f>
        <v>Low Risk</v>
      </c>
      <c r="Y82" t="str">
        <f>IF(J82&gt;=3,"Yes","No")</f>
        <v>Yes</v>
      </c>
      <c r="Z82">
        <f>IF(TRIM(S82)="Below Market",1,
 IF(TRIM(S82)="At Market",2,
 IF(TRIM(S82)="Above Market",3,0)))</f>
        <v>2</v>
      </c>
      <c r="AA82" s="26" cm="1">
        <f t="array" ref="AA82">IF($Y82&lt;&gt;"Yes",0,INDEX(Merit_Matrix!$B$2:$D$4,MATCH($J82,Merit_Matrix!$A$2:$A$4,0),Z82))</f>
        <v>0.03</v>
      </c>
      <c r="AB82" s="41">
        <f>H82*AA82</f>
        <v>2225.58</v>
      </c>
      <c r="AC82" s="41">
        <f>H82+AB82</f>
        <v>76411.58</v>
      </c>
      <c r="AD82" s="26">
        <f>AC82/O82</f>
        <v>1.1369079006100282</v>
      </c>
      <c r="AE8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83" spans="1:31" x14ac:dyDescent="0.3">
      <c r="A83">
        <v>1080</v>
      </c>
      <c r="B83" t="s">
        <v>23</v>
      </c>
      <c r="C83" t="s">
        <v>24</v>
      </c>
      <c r="D83">
        <v>4</v>
      </c>
      <c r="E83" t="s">
        <v>14</v>
      </c>
      <c r="F83" t="s">
        <v>24</v>
      </c>
      <c r="G83" t="s">
        <v>15</v>
      </c>
      <c r="H83" s="41">
        <v>101116</v>
      </c>
      <c r="I83" t="b">
        <v>1</v>
      </c>
      <c r="J83">
        <v>4</v>
      </c>
      <c r="K83" t="s">
        <v>19</v>
      </c>
      <c r="L83" s="1">
        <v>44804</v>
      </c>
      <c r="M83">
        <v>14</v>
      </c>
      <c r="N83" s="42">
        <f>VLOOKUP(B83,Market_Salary_Benchmarks!$A$1:$G$11,5,FALSE)</f>
        <v>82620</v>
      </c>
      <c r="O83" s="42">
        <f>VLOOKUP(B83,Market_Salary_Benchmarks!$A$1:$G$11,6,FALSE)</f>
        <v>110030</v>
      </c>
      <c r="P83" s="42">
        <f>VLOOKUP(B83,Market_Salary_Benchmarks!$A$1:$G$11,7,FALSE)</f>
        <v>146810</v>
      </c>
      <c r="Q83" s="26">
        <f>H83/O83</f>
        <v>0.91898573116422799</v>
      </c>
      <c r="R83" s="26">
        <f>(H83-N83)/(P83-N83)</f>
        <v>0.28814457080542139</v>
      </c>
      <c r="S83" s="23" t="str">
        <f>IF(H83 &lt; N83, "Below Market", IF(H83 &gt; P83, "Above Market", "At Market"))</f>
        <v>At Market</v>
      </c>
      <c r="T83" s="22" t="str">
        <f>B83 &amp; "-" &amp; D83</f>
        <v>HR Manager-4</v>
      </c>
      <c r="U83" s="41">
        <f>AVERAGEIFS(H:H, K:K, "Female", B:B, B83, D:D, D83)</f>
        <v>97910.769230769234</v>
      </c>
      <c r="V83" s="41">
        <f>AVERAGEIFS(H:H, K:K, "Male", B:B, B83, D:D, D83)</f>
        <v>96300.666666666672</v>
      </c>
      <c r="W83" s="27">
        <f>(V83-U83)/V83</f>
        <v>-1.6719537048229805E-2</v>
      </c>
      <c r="X83" s="23" t="str">
        <f>IF(ABS(W83) &gt;= 0.1, "High Risk",
 IF(ABS(W83) &gt;= 0.05, "Moderate Risk",
 "Low Risk"))</f>
        <v>Low Risk</v>
      </c>
      <c r="Y83" t="str">
        <f>IF(J83&gt;=3,"Yes","No")</f>
        <v>Yes</v>
      </c>
      <c r="Z83">
        <f>IF(TRIM(S83)="Below Market",1,
 IF(TRIM(S83)="At Market",2,
 IF(TRIM(S83)="Above Market",3,0)))</f>
        <v>2</v>
      </c>
      <c r="AA83" s="26" cm="1">
        <f t="array" ref="AA83">IF($Y83&lt;&gt;"Yes",0,INDEX(Merit_Matrix!$B$2:$D$4,MATCH($J83,Merit_Matrix!$A$2:$A$4,0),Z83))</f>
        <v>0.04</v>
      </c>
      <c r="AB83" s="41">
        <f>H83*AA83</f>
        <v>4044.64</v>
      </c>
      <c r="AC83" s="41">
        <f>H83+AB83</f>
        <v>105160.64</v>
      </c>
      <c r="AD83" s="26">
        <f>AC83/O83</f>
        <v>0.95574516041079705</v>
      </c>
      <c r="AE8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84" spans="1:31" x14ac:dyDescent="0.3">
      <c r="A84">
        <v>1081</v>
      </c>
      <c r="B84" t="s">
        <v>22</v>
      </c>
      <c r="C84" t="s">
        <v>18</v>
      </c>
      <c r="D84">
        <v>3</v>
      </c>
      <c r="E84" t="s">
        <v>14</v>
      </c>
      <c r="F84" t="s">
        <v>18</v>
      </c>
      <c r="G84" t="s">
        <v>15</v>
      </c>
      <c r="H84" s="41">
        <v>71531</v>
      </c>
      <c r="I84" t="b">
        <v>1</v>
      </c>
      <c r="J84">
        <v>3</v>
      </c>
      <c r="K84" t="s">
        <v>19</v>
      </c>
      <c r="L84" s="1">
        <v>42503</v>
      </c>
      <c r="M84">
        <v>11</v>
      </c>
      <c r="N84" s="42">
        <f>VLOOKUP(B84,Market_Salary_Benchmarks!$A$1:$G$11,5,FALSE)</f>
        <v>103040</v>
      </c>
      <c r="O84" s="42">
        <f>VLOOKUP(B84,Market_Salary_Benchmarks!$A$1:$G$11,6,FALSE)</f>
        <v>133500</v>
      </c>
      <c r="P84" s="42">
        <f>VLOOKUP(B84,Market_Salary_Benchmarks!$A$1:$G$11,7,FALSE)</f>
        <v>171680</v>
      </c>
      <c r="Q84" s="26">
        <f>H84/O84</f>
        <v>0.53581273408239705</v>
      </c>
      <c r="R84" s="26">
        <f>(H84-N84)/(P84-N84)</f>
        <v>-0.45904720279720279</v>
      </c>
      <c r="S84" s="23" t="str">
        <f>IF(H84 &lt; N84, "Below Market", IF(H84 &gt; P84, "Above Market", "At Market"))</f>
        <v>Below Market</v>
      </c>
      <c r="T84" s="22" t="str">
        <f>B84 &amp; "-" &amp; D84</f>
        <v>Senior IT Analyst-3</v>
      </c>
      <c r="U84" s="41">
        <f>AVERAGEIFS(H:H, K:K, "Female", B:B, B84, D:D, D84)</f>
        <v>78401.571428571435</v>
      </c>
      <c r="V84" s="41">
        <f>AVERAGEIFS(H:H, K:K, "Male", B:B, B84, D:D, D84)</f>
        <v>75875.125</v>
      </c>
      <c r="W84" s="27">
        <f>(V84-U84)/V84</f>
        <v>-3.3297426904686282E-2</v>
      </c>
      <c r="X84" s="23" t="str">
        <f>IF(ABS(W84) &gt;= 0.1, "High Risk",
 IF(ABS(W84) &gt;= 0.05, "Moderate Risk",
 "Low Risk"))</f>
        <v>Low Risk</v>
      </c>
      <c r="Y84" t="str">
        <f>IF(J84&gt;=3,"Yes","No")</f>
        <v>Yes</v>
      </c>
      <c r="Z84">
        <f>IF(TRIM(S84)="Below Market",1,
 IF(TRIM(S84)="At Market",2,
 IF(TRIM(S84)="Above Market",3,0)))</f>
        <v>1</v>
      </c>
      <c r="AA84" s="26" cm="1">
        <f t="array" ref="AA84">IF($Y84&lt;&gt;"Yes",0,INDEX(Merit_Matrix!$B$2:$D$4,MATCH($J84,Merit_Matrix!$A$2:$A$4,0),Z84))</f>
        <v>3.5000000000000003E-2</v>
      </c>
      <c r="AB84" s="41">
        <f>H84*AA84</f>
        <v>2503.585</v>
      </c>
      <c r="AC84" s="41">
        <f>H84+AB84</f>
        <v>74034.585000000006</v>
      </c>
      <c r="AD84" s="26">
        <f>AC84/O84</f>
        <v>0.554566179775281</v>
      </c>
      <c r="AE84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85" spans="1:31" x14ac:dyDescent="0.3">
      <c r="A85">
        <v>1082</v>
      </c>
      <c r="B85" t="s">
        <v>27</v>
      </c>
      <c r="C85" t="s">
        <v>26</v>
      </c>
      <c r="D85">
        <v>4</v>
      </c>
      <c r="E85" t="s">
        <v>14</v>
      </c>
      <c r="F85" t="s">
        <v>26</v>
      </c>
      <c r="G85" t="s">
        <v>15</v>
      </c>
      <c r="H85" s="41">
        <v>99003</v>
      </c>
      <c r="I85" t="b">
        <v>1</v>
      </c>
      <c r="J85">
        <v>2</v>
      </c>
      <c r="K85" t="s">
        <v>19</v>
      </c>
      <c r="L85" s="1">
        <v>44052</v>
      </c>
      <c r="M85">
        <v>5</v>
      </c>
      <c r="N85" s="42">
        <f>VLOOKUP(B85,Market_Salary_Benchmarks!$A$1:$G$11,5,FALSE)</f>
        <v>105000</v>
      </c>
      <c r="O85" s="42">
        <f>VLOOKUP(B85,Market_Salary_Benchmarks!$A$1:$G$11,6,FALSE)</f>
        <v>138040</v>
      </c>
      <c r="P85" s="42">
        <f>VLOOKUP(B85,Market_Salary_Benchmarks!$A$1:$G$11,7,FALSE)</f>
        <v>179950</v>
      </c>
      <c r="Q85" s="26">
        <f>H85/O85</f>
        <v>0.71720515792523909</v>
      </c>
      <c r="R85" s="26">
        <f>(H85-N85)/(P85-N85)</f>
        <v>-8.0013342228152096E-2</v>
      </c>
      <c r="S85" s="23" t="str">
        <f>IF(H85 &lt; N85, "Below Market", IF(H85 &gt; P85, "Above Market", "At Market"))</f>
        <v>Below Market</v>
      </c>
      <c r="T85" s="22" t="str">
        <f>B85 &amp; "-" &amp; D85</f>
        <v>Senior Financial Analyst-4</v>
      </c>
      <c r="U85" s="41">
        <f>AVERAGEIFS(H:H, K:K, "Female", B:B, B85, D:D, D85)</f>
        <v>94329.75</v>
      </c>
      <c r="V85" s="41">
        <f>AVERAGEIFS(H:H, K:K, "Male", B:B, B85, D:D, D85)</f>
        <v>94897.166666666672</v>
      </c>
      <c r="W85" s="27">
        <f>(V85-U85)/V85</f>
        <v>5.9792793251643075E-3</v>
      </c>
      <c r="X85" s="23" t="str">
        <f>IF(ABS(W85) &gt;= 0.1, "High Risk",
 IF(ABS(W85) &gt;= 0.05, "Moderate Risk",
 "Low Risk"))</f>
        <v>Low Risk</v>
      </c>
      <c r="Y85" t="str">
        <f>IF(J85&gt;=3,"Yes","No")</f>
        <v>No</v>
      </c>
      <c r="Z85">
        <f>IF(TRIM(S85)="Below Market",1,
 IF(TRIM(S85)="At Market",2,
 IF(TRIM(S85)="Above Market",3,0)))</f>
        <v>1</v>
      </c>
      <c r="AA85" s="26" cm="1">
        <f t="array" ref="AA85">IF($Y85&lt;&gt;"Yes",0,INDEX(Merit_Matrix!$B$2:$D$4,MATCH($J85,Merit_Matrix!$A$2:$A$4,0),Z85))</f>
        <v>0</v>
      </c>
      <c r="AB85" s="41">
        <f>H85*AA85</f>
        <v>0</v>
      </c>
      <c r="AC85" s="41">
        <f>H85+AB85</f>
        <v>99003</v>
      </c>
      <c r="AD85" s="26">
        <f>AC85/O85</f>
        <v>0.71720515792523909</v>
      </c>
      <c r="AE8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86" spans="1:31" x14ac:dyDescent="0.3">
      <c r="A86">
        <v>1083</v>
      </c>
      <c r="B86" t="s">
        <v>22</v>
      </c>
      <c r="C86" t="s">
        <v>18</v>
      </c>
      <c r="D86">
        <v>3</v>
      </c>
      <c r="E86" t="s">
        <v>14</v>
      </c>
      <c r="F86" t="s">
        <v>18</v>
      </c>
      <c r="G86" t="s">
        <v>15</v>
      </c>
      <c r="H86" s="41">
        <v>71256</v>
      </c>
      <c r="I86" t="b">
        <v>1</v>
      </c>
      <c r="J86">
        <v>3</v>
      </c>
      <c r="K86" t="s">
        <v>19</v>
      </c>
      <c r="L86" s="1">
        <v>43766</v>
      </c>
      <c r="M86">
        <v>7</v>
      </c>
      <c r="N86" s="42">
        <f>VLOOKUP(B86,Market_Salary_Benchmarks!$A$1:$G$11,5,FALSE)</f>
        <v>103040</v>
      </c>
      <c r="O86" s="42">
        <f>VLOOKUP(B86,Market_Salary_Benchmarks!$A$1:$G$11,6,FALSE)</f>
        <v>133500</v>
      </c>
      <c r="P86" s="42">
        <f>VLOOKUP(B86,Market_Salary_Benchmarks!$A$1:$G$11,7,FALSE)</f>
        <v>171680</v>
      </c>
      <c r="Q86" s="26">
        <f>H86/O86</f>
        <v>0.53375280898876409</v>
      </c>
      <c r="R86" s="26">
        <f>(H86-N86)/(P86-N86)</f>
        <v>-0.46305361305361303</v>
      </c>
      <c r="S86" s="23" t="str">
        <f>IF(H86 &lt; N86, "Below Market", IF(H86 &gt; P86, "Above Market", "At Market"))</f>
        <v>Below Market</v>
      </c>
      <c r="T86" s="22" t="str">
        <f>B86 &amp; "-" &amp; D86</f>
        <v>Senior IT Analyst-3</v>
      </c>
      <c r="U86" s="41">
        <f>AVERAGEIFS(H:H, K:K, "Female", B:B, B86, D:D, D86)</f>
        <v>78401.571428571435</v>
      </c>
      <c r="V86" s="41">
        <f>AVERAGEIFS(H:H, K:K, "Male", B:B, B86, D:D, D86)</f>
        <v>75875.125</v>
      </c>
      <c r="W86" s="27">
        <f>(V86-U86)/V86</f>
        <v>-3.3297426904686282E-2</v>
      </c>
      <c r="X86" s="23" t="str">
        <f>IF(ABS(W86) &gt;= 0.1, "High Risk",
 IF(ABS(W86) &gt;= 0.05, "Moderate Risk",
 "Low Risk"))</f>
        <v>Low Risk</v>
      </c>
      <c r="Y86" t="str">
        <f>IF(J86&gt;=3,"Yes","No")</f>
        <v>Yes</v>
      </c>
      <c r="Z86">
        <f>IF(TRIM(S86)="Below Market",1,
 IF(TRIM(S86)="At Market",2,
 IF(TRIM(S86)="Above Market",3,0)))</f>
        <v>1</v>
      </c>
      <c r="AA86" s="26" cm="1">
        <f t="array" ref="AA86">IF($Y86&lt;&gt;"Yes",0,INDEX(Merit_Matrix!$B$2:$D$4,MATCH($J86,Merit_Matrix!$A$2:$A$4,0),Z86))</f>
        <v>3.5000000000000003E-2</v>
      </c>
      <c r="AB86" s="41">
        <f>H86*AA86</f>
        <v>2493.96</v>
      </c>
      <c r="AC86" s="41">
        <f>H86+AB86</f>
        <v>73749.960000000006</v>
      </c>
      <c r="AD86" s="26">
        <f>AC86/O86</f>
        <v>0.55243415730337087</v>
      </c>
      <c r="AE86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87" spans="1:31" x14ac:dyDescent="0.3">
      <c r="A87">
        <v>1084</v>
      </c>
      <c r="B87" t="s">
        <v>20</v>
      </c>
      <c r="C87" t="s">
        <v>13</v>
      </c>
      <c r="D87">
        <v>3</v>
      </c>
      <c r="E87" t="s">
        <v>21</v>
      </c>
      <c r="F87" t="s">
        <v>13</v>
      </c>
      <c r="G87" t="s">
        <v>15</v>
      </c>
      <c r="H87" s="41">
        <v>72703</v>
      </c>
      <c r="I87" t="b">
        <v>1</v>
      </c>
      <c r="J87">
        <v>1</v>
      </c>
      <c r="K87" t="s">
        <v>16</v>
      </c>
      <c r="L87" s="1">
        <v>43723</v>
      </c>
      <c r="M87">
        <v>9</v>
      </c>
      <c r="N87" s="42">
        <f>VLOOKUP(B87,Market_Salary_Benchmarks!$A$1:$G$11,5,FALSE)</f>
        <v>52500</v>
      </c>
      <c r="O87" s="42">
        <f>VLOOKUP(B87,Market_Salary_Benchmarks!$A$1:$G$11,6,FALSE)</f>
        <v>67210</v>
      </c>
      <c r="P87" s="42">
        <f>VLOOKUP(B87,Market_Salary_Benchmarks!$A$1:$G$11,7,FALSE)</f>
        <v>83970</v>
      </c>
      <c r="Q87" s="26">
        <f>H87/O87</f>
        <v>1.0817289093884839</v>
      </c>
      <c r="R87" s="26">
        <f>(H87-N87)/(P87-N87)</f>
        <v>0.64197648554178588</v>
      </c>
      <c r="S87" s="23" t="str">
        <f>IF(H87 &lt; N87, "Below Market", IF(H87 &gt; P87, "Above Market", "At Market"))</f>
        <v>At Market</v>
      </c>
      <c r="T87" s="22" t="str">
        <f>B87 &amp; "-" &amp; D87</f>
        <v>Operations Supervisor-3</v>
      </c>
      <c r="U87" s="41">
        <f>AVERAGEIFS(H:H, K:K, "Female", B:B, B87, D:D, D87)</f>
        <v>79072.21428571429</v>
      </c>
      <c r="V87" s="41">
        <f>AVERAGEIFS(H:H, K:K, "Male", B:B, B87, D:D, D87)</f>
        <v>76780.28571428571</v>
      </c>
      <c r="W87" s="27">
        <f>(V87-U87)/V87</f>
        <v>-2.9850482452713045E-2</v>
      </c>
      <c r="X87" s="23" t="str">
        <f>IF(ABS(W87) &gt;= 0.1, "High Risk",
 IF(ABS(W87) &gt;= 0.05, "Moderate Risk",
 "Low Risk"))</f>
        <v>Low Risk</v>
      </c>
      <c r="Y87" t="str">
        <f>IF(J87&gt;=3,"Yes","No")</f>
        <v>No</v>
      </c>
      <c r="Z87">
        <f>IF(TRIM(S87)="Below Market",1,
 IF(TRIM(S87)="At Market",2,
 IF(TRIM(S87)="Above Market",3,0)))</f>
        <v>2</v>
      </c>
      <c r="AA87" s="26" cm="1">
        <f t="array" ref="AA87">IF($Y87&lt;&gt;"Yes",0,INDEX(Merit_Matrix!$B$2:$D$4,MATCH($J87,Merit_Matrix!$A$2:$A$4,0),Z87))</f>
        <v>0</v>
      </c>
      <c r="AB87" s="41">
        <f>H87*AA87</f>
        <v>0</v>
      </c>
      <c r="AC87" s="41">
        <f>H87+AB87</f>
        <v>72703</v>
      </c>
      <c r="AD87" s="26">
        <f>AC87/O87</f>
        <v>1.0817289093884839</v>
      </c>
      <c r="AE8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88" spans="1:31" x14ac:dyDescent="0.3">
      <c r="A88">
        <v>1085</v>
      </c>
      <c r="B88" t="s">
        <v>20</v>
      </c>
      <c r="C88" t="s">
        <v>13</v>
      </c>
      <c r="D88">
        <v>3</v>
      </c>
      <c r="E88" t="s">
        <v>21</v>
      </c>
      <c r="F88" t="s">
        <v>13</v>
      </c>
      <c r="G88" t="s">
        <v>15</v>
      </c>
      <c r="H88" s="41">
        <v>77575</v>
      </c>
      <c r="I88" t="b">
        <v>1</v>
      </c>
      <c r="J88">
        <v>3</v>
      </c>
      <c r="K88" t="s">
        <v>16</v>
      </c>
      <c r="L88" s="1">
        <v>43741</v>
      </c>
      <c r="M88">
        <v>5</v>
      </c>
      <c r="N88" s="42">
        <f>VLOOKUP(B88,Market_Salary_Benchmarks!$A$1:$G$11,5,FALSE)</f>
        <v>52500</v>
      </c>
      <c r="O88" s="42">
        <f>VLOOKUP(B88,Market_Salary_Benchmarks!$A$1:$G$11,6,FALSE)</f>
        <v>67210</v>
      </c>
      <c r="P88" s="42">
        <f>VLOOKUP(B88,Market_Salary_Benchmarks!$A$1:$G$11,7,FALSE)</f>
        <v>83970</v>
      </c>
      <c r="Q88" s="26">
        <f>H88/O88</f>
        <v>1.1542181223032286</v>
      </c>
      <c r="R88" s="26">
        <f>(H88-N88)/(P88-N88)</f>
        <v>0.79679059421671428</v>
      </c>
      <c r="S88" s="23" t="str">
        <f>IF(H88 &lt; N88, "Below Market", IF(H88 &gt; P88, "Above Market", "At Market"))</f>
        <v>At Market</v>
      </c>
      <c r="T88" s="22" t="str">
        <f>B88 &amp; "-" &amp; D88</f>
        <v>Operations Supervisor-3</v>
      </c>
      <c r="U88" s="41">
        <f>AVERAGEIFS(H:H, K:K, "Female", B:B, B88, D:D, D88)</f>
        <v>79072.21428571429</v>
      </c>
      <c r="V88" s="41">
        <f>AVERAGEIFS(H:H, K:K, "Male", B:B, B88, D:D, D88)</f>
        <v>76780.28571428571</v>
      </c>
      <c r="W88" s="27">
        <f>(V88-U88)/V88</f>
        <v>-2.9850482452713045E-2</v>
      </c>
      <c r="X88" s="23" t="str">
        <f>IF(ABS(W88) &gt;= 0.1, "High Risk",
 IF(ABS(W88) &gt;= 0.05, "Moderate Risk",
 "Low Risk"))</f>
        <v>Low Risk</v>
      </c>
      <c r="Y88" t="str">
        <f>IF(J88&gt;=3,"Yes","No")</f>
        <v>Yes</v>
      </c>
      <c r="Z88">
        <f>IF(TRIM(S88)="Below Market",1,
 IF(TRIM(S88)="At Market",2,
 IF(TRIM(S88)="Above Market",3,0)))</f>
        <v>2</v>
      </c>
      <c r="AA88" s="26" cm="1">
        <f t="array" ref="AA88">IF($Y88&lt;&gt;"Yes",0,INDEX(Merit_Matrix!$B$2:$D$4,MATCH($J88,Merit_Matrix!$A$2:$A$4,0),Z88))</f>
        <v>0.03</v>
      </c>
      <c r="AB88" s="41">
        <f>H88*AA88</f>
        <v>2327.25</v>
      </c>
      <c r="AC88" s="41">
        <f>H88+AB88</f>
        <v>79902.25</v>
      </c>
      <c r="AD88" s="26">
        <f>AC88/O88</f>
        <v>1.1888446659723255</v>
      </c>
      <c r="AE8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89" spans="1:31" x14ac:dyDescent="0.3">
      <c r="A89">
        <v>1086</v>
      </c>
      <c r="B89" t="s">
        <v>23</v>
      </c>
      <c r="C89" t="s">
        <v>24</v>
      </c>
      <c r="D89">
        <v>4</v>
      </c>
      <c r="E89" t="s">
        <v>14</v>
      </c>
      <c r="F89" t="s">
        <v>24</v>
      </c>
      <c r="G89" t="s">
        <v>15</v>
      </c>
      <c r="H89" s="41">
        <v>95483</v>
      </c>
      <c r="I89" t="b">
        <v>1</v>
      </c>
      <c r="J89">
        <v>3</v>
      </c>
      <c r="K89" t="s">
        <v>16</v>
      </c>
      <c r="L89" s="1">
        <v>43238</v>
      </c>
      <c r="M89">
        <v>10</v>
      </c>
      <c r="N89" s="42">
        <f>VLOOKUP(B89,Market_Salary_Benchmarks!$A$1:$G$11,5,FALSE)</f>
        <v>82620</v>
      </c>
      <c r="O89" s="42">
        <f>VLOOKUP(B89,Market_Salary_Benchmarks!$A$1:$G$11,6,FALSE)</f>
        <v>110030</v>
      </c>
      <c r="P89" s="42">
        <f>VLOOKUP(B89,Market_Salary_Benchmarks!$A$1:$G$11,7,FALSE)</f>
        <v>146810</v>
      </c>
      <c r="Q89" s="26">
        <f>H89/O89</f>
        <v>0.86779060256293739</v>
      </c>
      <c r="R89" s="26">
        <f>(H89-N89)/(P89-N89)</f>
        <v>0.20038946876460509</v>
      </c>
      <c r="S89" s="23" t="str">
        <f>IF(H89 &lt; N89, "Below Market", IF(H89 &gt; P89, "Above Market", "At Market"))</f>
        <v>At Market</v>
      </c>
      <c r="T89" s="22" t="str">
        <f>B89 &amp; "-" &amp; D89</f>
        <v>HR Manager-4</v>
      </c>
      <c r="U89" s="41">
        <f>AVERAGEIFS(H:H, K:K, "Female", B:B, B89, D:D, D89)</f>
        <v>97910.769230769234</v>
      </c>
      <c r="V89" s="41">
        <f>AVERAGEIFS(H:H, K:K, "Male", B:B, B89, D:D, D89)</f>
        <v>96300.666666666672</v>
      </c>
      <c r="W89" s="27">
        <f>(V89-U89)/V89</f>
        <v>-1.6719537048229805E-2</v>
      </c>
      <c r="X89" s="23" t="str">
        <f>IF(ABS(W89) &gt;= 0.1, "High Risk",
 IF(ABS(W89) &gt;= 0.05, "Moderate Risk",
 "Low Risk"))</f>
        <v>Low Risk</v>
      </c>
      <c r="Y89" t="str">
        <f>IF(J89&gt;=3,"Yes","No")</f>
        <v>Yes</v>
      </c>
      <c r="Z89">
        <f>IF(TRIM(S89)="Below Market",1,
 IF(TRIM(S89)="At Market",2,
 IF(TRIM(S89)="Above Market",3,0)))</f>
        <v>2</v>
      </c>
      <c r="AA89" s="26" cm="1">
        <f t="array" ref="AA89">IF($Y89&lt;&gt;"Yes",0,INDEX(Merit_Matrix!$B$2:$D$4,MATCH($J89,Merit_Matrix!$A$2:$A$4,0),Z89))</f>
        <v>0.03</v>
      </c>
      <c r="AB89" s="41">
        <f>H89*AA89</f>
        <v>2864.49</v>
      </c>
      <c r="AC89" s="41">
        <f>H89+AB89</f>
        <v>98347.49</v>
      </c>
      <c r="AD89" s="26">
        <f>AC89/O89</f>
        <v>0.89382432063982553</v>
      </c>
      <c r="AE8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0" spans="1:31" x14ac:dyDescent="0.3">
      <c r="A90">
        <v>1087</v>
      </c>
      <c r="B90" t="s">
        <v>25</v>
      </c>
      <c r="C90" t="s">
        <v>26</v>
      </c>
      <c r="D90">
        <v>3</v>
      </c>
      <c r="E90" t="s">
        <v>14</v>
      </c>
      <c r="F90" t="s">
        <v>26</v>
      </c>
      <c r="G90" t="s">
        <v>15</v>
      </c>
      <c r="H90" s="41">
        <v>76042</v>
      </c>
      <c r="I90" t="b">
        <v>1</v>
      </c>
      <c r="J90">
        <v>1</v>
      </c>
      <c r="K90" t="s">
        <v>19</v>
      </c>
      <c r="L90" s="1">
        <v>43298</v>
      </c>
      <c r="M90">
        <v>6</v>
      </c>
      <c r="N90" s="42">
        <f>VLOOKUP(B90,Market_Salary_Benchmarks!$A$1:$G$11,5,FALSE)</f>
        <v>49460</v>
      </c>
      <c r="O90" s="42">
        <f>VLOOKUP(B90,Market_Salary_Benchmarks!$A$1:$G$11,6,FALSE)</f>
        <v>78370</v>
      </c>
      <c r="P90" s="42">
        <f>VLOOKUP(B90,Market_Salary_Benchmarks!$A$1:$G$11,7,FALSE)</f>
        <v>104330</v>
      </c>
      <c r="Q90" s="26">
        <f>H90/O90</f>
        <v>0.97029475564629319</v>
      </c>
      <c r="R90" s="26">
        <f>(H90-N90)/(P90-N90)</f>
        <v>0.48445416438855476</v>
      </c>
      <c r="S90" s="23" t="str">
        <f>IF(H90 &lt; N90, "Below Market", IF(H90 &gt; P90, "Above Market", "At Market"))</f>
        <v>At Market</v>
      </c>
      <c r="T90" s="22" t="str">
        <f>B90 &amp; "-" &amp; D90</f>
        <v>Financial Analyst-3</v>
      </c>
      <c r="U90" s="41">
        <f>AVERAGEIFS(H:H, K:K, "Female", B:B, B90, D:D, D90)</f>
        <v>76962.636363636368</v>
      </c>
      <c r="V90" s="41">
        <f>AVERAGEIFS(H:H, K:K, "Male", B:B, B90, D:D, D90)</f>
        <v>77416</v>
      </c>
      <c r="W90" s="27">
        <f>(V90-U90)/V90</f>
        <v>5.8562007383955823E-3</v>
      </c>
      <c r="X90" s="23" t="str">
        <f>IF(ABS(W90) &gt;= 0.1, "High Risk",
 IF(ABS(W90) &gt;= 0.05, "Moderate Risk",
 "Low Risk"))</f>
        <v>Low Risk</v>
      </c>
      <c r="Y90" t="str">
        <f>IF(J90&gt;=3,"Yes","No")</f>
        <v>No</v>
      </c>
      <c r="Z90">
        <f>IF(TRIM(S90)="Below Market",1,
 IF(TRIM(S90)="At Market",2,
 IF(TRIM(S90)="Above Market",3,0)))</f>
        <v>2</v>
      </c>
      <c r="AA90" s="26" cm="1">
        <f t="array" ref="AA90">IF($Y90&lt;&gt;"Yes",0,INDEX(Merit_Matrix!$B$2:$D$4,MATCH($J90,Merit_Matrix!$A$2:$A$4,0),Z90))</f>
        <v>0</v>
      </c>
      <c r="AB90" s="41">
        <f>H90*AA90</f>
        <v>0</v>
      </c>
      <c r="AC90" s="41">
        <f>H90+AB90</f>
        <v>76042</v>
      </c>
      <c r="AD90" s="26">
        <f>AC90/O90</f>
        <v>0.97029475564629319</v>
      </c>
      <c r="AE9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1" spans="1:31" x14ac:dyDescent="0.3">
      <c r="A91">
        <v>1088</v>
      </c>
      <c r="B91" t="s">
        <v>25</v>
      </c>
      <c r="C91" t="s">
        <v>26</v>
      </c>
      <c r="D91">
        <v>3</v>
      </c>
      <c r="E91" t="s">
        <v>14</v>
      </c>
      <c r="F91" t="s">
        <v>26</v>
      </c>
      <c r="G91" t="s">
        <v>15</v>
      </c>
      <c r="H91" s="41">
        <v>72779</v>
      </c>
      <c r="I91" t="b">
        <v>1</v>
      </c>
      <c r="J91">
        <v>2</v>
      </c>
      <c r="K91" t="s">
        <v>16</v>
      </c>
      <c r="L91" s="1">
        <v>43987</v>
      </c>
      <c r="M91">
        <v>4</v>
      </c>
      <c r="N91" s="42">
        <f>VLOOKUP(B91,Market_Salary_Benchmarks!$A$1:$G$11,5,FALSE)</f>
        <v>49460</v>
      </c>
      <c r="O91" s="42">
        <f>VLOOKUP(B91,Market_Salary_Benchmarks!$A$1:$G$11,6,FALSE)</f>
        <v>78370</v>
      </c>
      <c r="P91" s="42">
        <f>VLOOKUP(B91,Market_Salary_Benchmarks!$A$1:$G$11,7,FALSE)</f>
        <v>104330</v>
      </c>
      <c r="Q91" s="26">
        <f>H91/O91</f>
        <v>0.92865892560928931</v>
      </c>
      <c r="R91" s="26">
        <f>(H91-N91)/(P91-N91)</f>
        <v>0.42498633132859487</v>
      </c>
      <c r="S91" s="23" t="str">
        <f>IF(H91 &lt; N91, "Below Market", IF(H91 &gt; P91, "Above Market", "At Market"))</f>
        <v>At Market</v>
      </c>
      <c r="T91" s="22" t="str">
        <f>B91 &amp; "-" &amp; D91</f>
        <v>Financial Analyst-3</v>
      </c>
      <c r="U91" s="41">
        <f>AVERAGEIFS(H:H, K:K, "Female", B:B, B91, D:D, D91)</f>
        <v>76962.636363636368</v>
      </c>
      <c r="V91" s="41">
        <f>AVERAGEIFS(H:H, K:K, "Male", B:B, B91, D:D, D91)</f>
        <v>77416</v>
      </c>
      <c r="W91" s="27">
        <f>(V91-U91)/V91</f>
        <v>5.8562007383955823E-3</v>
      </c>
      <c r="X91" s="23" t="str">
        <f>IF(ABS(W91) &gt;= 0.1, "High Risk",
 IF(ABS(W91) &gt;= 0.05, "Moderate Risk",
 "Low Risk"))</f>
        <v>Low Risk</v>
      </c>
      <c r="Y91" t="str">
        <f>IF(J91&gt;=3,"Yes","No")</f>
        <v>No</v>
      </c>
      <c r="Z91">
        <f>IF(TRIM(S91)="Below Market",1,
 IF(TRIM(S91)="At Market",2,
 IF(TRIM(S91)="Above Market",3,0)))</f>
        <v>2</v>
      </c>
      <c r="AA91" s="26" cm="1">
        <f t="array" ref="AA91">IF($Y91&lt;&gt;"Yes",0,INDEX(Merit_Matrix!$B$2:$D$4,MATCH($J91,Merit_Matrix!$A$2:$A$4,0),Z91))</f>
        <v>0</v>
      </c>
      <c r="AB91" s="41">
        <f>H91*AA91</f>
        <v>0</v>
      </c>
      <c r="AC91" s="41">
        <f>H91+AB91</f>
        <v>72779</v>
      </c>
      <c r="AD91" s="26">
        <f>AC91/O91</f>
        <v>0.92865892560928931</v>
      </c>
      <c r="AE9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2" spans="1:31" x14ac:dyDescent="0.3">
      <c r="A92">
        <v>1089</v>
      </c>
      <c r="B92" t="s">
        <v>27</v>
      </c>
      <c r="C92" t="s">
        <v>26</v>
      </c>
      <c r="D92">
        <v>4</v>
      </c>
      <c r="E92" t="s">
        <v>14</v>
      </c>
      <c r="F92" t="s">
        <v>26</v>
      </c>
      <c r="G92" t="s">
        <v>15</v>
      </c>
      <c r="H92" s="41">
        <v>88009</v>
      </c>
      <c r="I92" t="b">
        <v>1</v>
      </c>
      <c r="J92">
        <v>5</v>
      </c>
      <c r="K92" t="s">
        <v>16</v>
      </c>
      <c r="L92" s="1">
        <v>43246</v>
      </c>
      <c r="M92">
        <v>6</v>
      </c>
      <c r="N92" s="42">
        <f>VLOOKUP(B92,Market_Salary_Benchmarks!$A$1:$G$11,5,FALSE)</f>
        <v>105000</v>
      </c>
      <c r="O92" s="42">
        <f>VLOOKUP(B92,Market_Salary_Benchmarks!$A$1:$G$11,6,FALSE)</f>
        <v>138040</v>
      </c>
      <c r="P92" s="42">
        <f>VLOOKUP(B92,Market_Salary_Benchmarks!$A$1:$G$11,7,FALSE)</f>
        <v>179950</v>
      </c>
      <c r="Q92" s="26">
        <f>H92/O92</f>
        <v>0.6375615763546798</v>
      </c>
      <c r="R92" s="26">
        <f>(H92-N92)/(P92-N92)</f>
        <v>-0.22669779853235492</v>
      </c>
      <c r="S92" s="23" t="str">
        <f>IF(H92 &lt; N92, "Below Market", IF(H92 &gt; P92, "Above Market", "At Market"))</f>
        <v>Below Market</v>
      </c>
      <c r="T92" s="22" t="str">
        <f>B92 &amp; "-" &amp; D92</f>
        <v>Senior Financial Analyst-4</v>
      </c>
      <c r="U92" s="41">
        <f>AVERAGEIFS(H:H, K:K, "Female", B:B, B92, D:D, D92)</f>
        <v>94329.75</v>
      </c>
      <c r="V92" s="41">
        <f>AVERAGEIFS(H:H, K:K, "Male", B:B, B92, D:D, D92)</f>
        <v>94897.166666666672</v>
      </c>
      <c r="W92" s="27">
        <f>(V92-U92)/V92</f>
        <v>5.9792793251643075E-3</v>
      </c>
      <c r="X92" s="23" t="str">
        <f>IF(ABS(W92) &gt;= 0.1, "High Risk",
 IF(ABS(W92) &gt;= 0.05, "Moderate Risk",
 "Low Risk"))</f>
        <v>Low Risk</v>
      </c>
      <c r="Y92" t="str">
        <f>IF(J92&gt;=3,"Yes","No")</f>
        <v>Yes</v>
      </c>
      <c r="Z92">
        <f>IF(TRIM(S92)="Below Market",1,
 IF(TRIM(S92)="At Market",2,
 IF(TRIM(S92)="Above Market",3,0)))</f>
        <v>1</v>
      </c>
      <c r="AA92" s="26" cm="1">
        <f t="array" ref="AA92">IF($Y92&lt;&gt;"Yes",0,INDEX(Merit_Matrix!$B$2:$D$4,MATCH($J92,Merit_Matrix!$A$2:$A$4,0),Z92))</f>
        <v>0.06</v>
      </c>
      <c r="AB92" s="41">
        <f>H92*AA92</f>
        <v>5280.54</v>
      </c>
      <c r="AC92" s="41">
        <f>H92+AB92</f>
        <v>93289.54</v>
      </c>
      <c r="AD92" s="26">
        <f>AC92/O92</f>
        <v>0.6758152709359605</v>
      </c>
      <c r="AE92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93" spans="1:31" x14ac:dyDescent="0.3">
      <c r="A93">
        <v>1090</v>
      </c>
      <c r="B93" t="s">
        <v>12</v>
      </c>
      <c r="C93" t="s">
        <v>13</v>
      </c>
      <c r="D93">
        <v>4</v>
      </c>
      <c r="E93" t="s">
        <v>14</v>
      </c>
      <c r="F93" t="s">
        <v>13</v>
      </c>
      <c r="G93" t="s">
        <v>15</v>
      </c>
      <c r="H93" s="41">
        <v>90193</v>
      </c>
      <c r="I93" t="b">
        <v>1</v>
      </c>
      <c r="J93">
        <v>5</v>
      </c>
      <c r="K93" t="s">
        <v>19</v>
      </c>
      <c r="L93" s="1">
        <v>44172</v>
      </c>
      <c r="M93">
        <v>6</v>
      </c>
      <c r="N93" s="42">
        <f>VLOOKUP(B93,Market_Salary_Benchmarks!$A$1:$G$11,5,FALSE)</f>
        <v>74720</v>
      </c>
      <c r="O93" s="42">
        <f>VLOOKUP(B93,Market_Salary_Benchmarks!$A$1:$G$11,6,FALSE)</f>
        <v>106330</v>
      </c>
      <c r="P93" s="42">
        <f>VLOOKUP(B93,Market_Salary_Benchmarks!$A$1:$G$11,7,FALSE)</f>
        <v>162780</v>
      </c>
      <c r="Q93" s="26">
        <f>H93/O93</f>
        <v>0.84823662183767512</v>
      </c>
      <c r="R93" s="26">
        <f>(H93-N93)/(P93-N93)</f>
        <v>0.17570974335680217</v>
      </c>
      <c r="S93" s="23" t="str">
        <f>IF(H93 &lt; N93, "Below Market", IF(H93 &gt; P93, "Above Market", "At Market"))</f>
        <v>At Market</v>
      </c>
      <c r="T93" s="22" t="str">
        <f>B93 &amp; "-" &amp; D93</f>
        <v>Operations Manager-4</v>
      </c>
      <c r="U93" s="41">
        <f>AVERAGEIFS(H:H, K:K, "Female", B:B, B93, D:D, D93)</f>
        <v>96094.111111111109</v>
      </c>
      <c r="V93" s="41">
        <f>AVERAGEIFS(H:H, K:K, "Male", B:B, B93, D:D, D93)</f>
        <v>95248.28571428571</v>
      </c>
      <c r="W93" s="27">
        <f>(V93-U93)/V93</f>
        <v>-8.8802164835029597E-3</v>
      </c>
      <c r="X93" s="23" t="str">
        <f>IF(ABS(W93) &gt;= 0.1, "High Risk",
 IF(ABS(W93) &gt;= 0.05, "Moderate Risk",
 "Low Risk"))</f>
        <v>Low Risk</v>
      </c>
      <c r="Y93" t="str">
        <f>IF(J93&gt;=3,"Yes","No")</f>
        <v>Yes</v>
      </c>
      <c r="Z93">
        <f>IF(TRIM(S93)="Below Market",1,
 IF(TRIM(S93)="At Market",2,
 IF(TRIM(S93)="Above Market",3,0)))</f>
        <v>2</v>
      </c>
      <c r="AA93" s="26" cm="1">
        <f t="array" ref="AA93">IF($Y93&lt;&gt;"Yes",0,INDEX(Merit_Matrix!$B$2:$D$4,MATCH($J93,Merit_Matrix!$A$2:$A$4,0),Z93))</f>
        <v>0.05</v>
      </c>
      <c r="AB93" s="41">
        <f>H93*AA93</f>
        <v>4509.6500000000005</v>
      </c>
      <c r="AC93" s="41">
        <f>H93+AB93</f>
        <v>94702.65</v>
      </c>
      <c r="AD93" s="26">
        <f>AC93/O93</f>
        <v>0.89064845292955885</v>
      </c>
      <c r="AE9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4" spans="1:31" x14ac:dyDescent="0.3">
      <c r="A94">
        <v>1091</v>
      </c>
      <c r="B94" t="s">
        <v>23</v>
      </c>
      <c r="C94" t="s">
        <v>24</v>
      </c>
      <c r="D94">
        <v>4</v>
      </c>
      <c r="E94" t="s">
        <v>14</v>
      </c>
      <c r="F94" t="s">
        <v>24</v>
      </c>
      <c r="G94" t="s">
        <v>15</v>
      </c>
      <c r="H94" s="41">
        <v>94970</v>
      </c>
      <c r="I94" t="b">
        <v>1</v>
      </c>
      <c r="J94">
        <v>4</v>
      </c>
      <c r="K94" t="s">
        <v>19</v>
      </c>
      <c r="L94" s="1">
        <v>44003</v>
      </c>
      <c r="M94">
        <v>10</v>
      </c>
      <c r="N94" s="42">
        <f>VLOOKUP(B94,Market_Salary_Benchmarks!$A$1:$G$11,5,FALSE)</f>
        <v>82620</v>
      </c>
      <c r="O94" s="42">
        <f>VLOOKUP(B94,Market_Salary_Benchmarks!$A$1:$G$11,6,FALSE)</f>
        <v>110030</v>
      </c>
      <c r="P94" s="42">
        <f>VLOOKUP(B94,Market_Salary_Benchmarks!$A$1:$G$11,7,FALSE)</f>
        <v>146810</v>
      </c>
      <c r="Q94" s="26">
        <f>H94/O94</f>
        <v>0.86312823775334002</v>
      </c>
      <c r="R94" s="26">
        <f>(H94-N94)/(P94-N94)</f>
        <v>0.19239756971490887</v>
      </c>
      <c r="S94" s="23" t="str">
        <f>IF(H94 &lt; N94, "Below Market", IF(H94 &gt; P94, "Above Market", "At Market"))</f>
        <v>At Market</v>
      </c>
      <c r="T94" s="22" t="str">
        <f>B94 &amp; "-" &amp; D94</f>
        <v>HR Manager-4</v>
      </c>
      <c r="U94" s="41">
        <f>AVERAGEIFS(H:H, K:K, "Female", B:B, B94, D:D, D94)</f>
        <v>97910.769230769234</v>
      </c>
      <c r="V94" s="41">
        <f>AVERAGEIFS(H:H, K:K, "Male", B:B, B94, D:D, D94)</f>
        <v>96300.666666666672</v>
      </c>
      <c r="W94" s="27">
        <f>(V94-U94)/V94</f>
        <v>-1.6719537048229805E-2</v>
      </c>
      <c r="X94" s="23" t="str">
        <f>IF(ABS(W94) &gt;= 0.1, "High Risk",
 IF(ABS(W94) &gt;= 0.05, "Moderate Risk",
 "Low Risk"))</f>
        <v>Low Risk</v>
      </c>
      <c r="Y94" t="str">
        <f>IF(J94&gt;=3,"Yes","No")</f>
        <v>Yes</v>
      </c>
      <c r="Z94">
        <f>IF(TRIM(S94)="Below Market",1,
 IF(TRIM(S94)="At Market",2,
 IF(TRIM(S94)="Above Market",3,0)))</f>
        <v>2</v>
      </c>
      <c r="AA94" s="26" cm="1">
        <f t="array" ref="AA94">IF($Y94&lt;&gt;"Yes",0,INDEX(Merit_Matrix!$B$2:$D$4,MATCH($J94,Merit_Matrix!$A$2:$A$4,0),Z94))</f>
        <v>0.04</v>
      </c>
      <c r="AB94" s="41">
        <f>H94*AA94</f>
        <v>3798.8</v>
      </c>
      <c r="AC94" s="41">
        <f>H94+AB94</f>
        <v>98768.8</v>
      </c>
      <c r="AD94" s="26">
        <f>AC94/O94</f>
        <v>0.89765336726347367</v>
      </c>
      <c r="AE9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5" spans="1:31" x14ac:dyDescent="0.3">
      <c r="A95">
        <v>1092</v>
      </c>
      <c r="B95" t="s">
        <v>30</v>
      </c>
      <c r="C95" t="s">
        <v>24</v>
      </c>
      <c r="D95">
        <v>2</v>
      </c>
      <c r="E95" t="s">
        <v>21</v>
      </c>
      <c r="F95" t="s">
        <v>24</v>
      </c>
      <c r="G95" t="s">
        <v>15</v>
      </c>
      <c r="H95" s="41">
        <v>58702</v>
      </c>
      <c r="I95" t="b">
        <v>0</v>
      </c>
      <c r="J95">
        <v>2</v>
      </c>
      <c r="K95" t="s">
        <v>16</v>
      </c>
      <c r="L95" s="1">
        <v>42845</v>
      </c>
      <c r="M95">
        <v>2</v>
      </c>
      <c r="N95" s="42">
        <f>VLOOKUP(B95,Market_Salary_Benchmarks!$A$1:$G$11,5,FALSE)</f>
        <v>37930</v>
      </c>
      <c r="O95" s="42">
        <f>VLOOKUP(B95,Market_Salary_Benchmarks!$A$1:$G$11,6,FALSE)</f>
        <v>45470</v>
      </c>
      <c r="P95" s="42">
        <f>VLOOKUP(B95,Market_Salary_Benchmarks!$A$1:$G$11,7,FALSE)</f>
        <v>54160</v>
      </c>
      <c r="Q95" s="26">
        <f>H95/O95</f>
        <v>1.2910050582801846</v>
      </c>
      <c r="R95" s="26">
        <f>(H95-N95)/(P95-N95)</f>
        <v>1.2798521256931608</v>
      </c>
      <c r="S95" s="23" t="str">
        <f>IF(H95 &lt; N95, "Below Market", IF(H95 &gt; P95, "Above Market", "At Market"))</f>
        <v>Above Market</v>
      </c>
      <c r="T95" s="22" t="str">
        <f>B95 &amp; "-" &amp; D95</f>
        <v>Payroll Specialist-2</v>
      </c>
      <c r="U95" s="41">
        <f>AVERAGEIFS(H:H, K:K, "Female", B:B, B95, D:D, D95)</f>
        <v>58334.555555555555</v>
      </c>
      <c r="V95" s="41">
        <f>AVERAGEIFS(H:H, K:K, "Male", B:B, B95, D:D, D95)</f>
        <v>56264.5</v>
      </c>
      <c r="W95" s="27">
        <f>(V95-U95)/V95</f>
        <v>-3.6791503622276123E-2</v>
      </c>
      <c r="X95" s="23" t="str">
        <f>IF(ABS(W95) &gt;= 0.1, "High Risk",
 IF(ABS(W95) &gt;= 0.05, "Moderate Risk",
 "Low Risk"))</f>
        <v>Low Risk</v>
      </c>
      <c r="Y95" t="str">
        <f>IF(J95&gt;=3,"Yes","No")</f>
        <v>No</v>
      </c>
      <c r="Z95">
        <f>IF(TRIM(S95)="Below Market",1,
 IF(TRIM(S95)="At Market",2,
 IF(TRIM(S95)="Above Market",3,0)))</f>
        <v>3</v>
      </c>
      <c r="AA95" s="26" cm="1">
        <f t="array" ref="AA95">IF($Y95&lt;&gt;"Yes",0,INDEX(Merit_Matrix!$B$2:$D$4,MATCH($J95,Merit_Matrix!$A$2:$A$4,0),Z95))</f>
        <v>0</v>
      </c>
      <c r="AB95" s="41">
        <f>H95*AA95</f>
        <v>0</v>
      </c>
      <c r="AC95" s="41">
        <f>H95+AB95</f>
        <v>58702</v>
      </c>
      <c r="AD95" s="26">
        <f>AC95/O95</f>
        <v>1.2910050582801846</v>
      </c>
      <c r="AE95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96" spans="1:31" x14ac:dyDescent="0.3">
      <c r="A96">
        <v>1093</v>
      </c>
      <c r="B96" t="s">
        <v>27</v>
      </c>
      <c r="C96" t="s">
        <v>26</v>
      </c>
      <c r="D96">
        <v>4</v>
      </c>
      <c r="E96" t="s">
        <v>14</v>
      </c>
      <c r="F96" t="s">
        <v>26</v>
      </c>
      <c r="G96" t="s">
        <v>15</v>
      </c>
      <c r="H96" s="41">
        <v>103106</v>
      </c>
      <c r="I96" t="b">
        <v>1</v>
      </c>
      <c r="J96">
        <v>3</v>
      </c>
      <c r="K96" t="s">
        <v>19</v>
      </c>
      <c r="L96" s="1">
        <v>45094</v>
      </c>
      <c r="M96">
        <v>11</v>
      </c>
      <c r="N96" s="42">
        <f>VLOOKUP(B96,Market_Salary_Benchmarks!$A$1:$G$11,5,FALSE)</f>
        <v>105000</v>
      </c>
      <c r="O96" s="42">
        <f>VLOOKUP(B96,Market_Salary_Benchmarks!$A$1:$G$11,6,FALSE)</f>
        <v>138040</v>
      </c>
      <c r="P96" s="42">
        <f>VLOOKUP(B96,Market_Salary_Benchmarks!$A$1:$G$11,7,FALSE)</f>
        <v>179950</v>
      </c>
      <c r="Q96" s="26">
        <f>H96/O96</f>
        <v>0.74692842654303104</v>
      </c>
      <c r="R96" s="26">
        <f>(H96-N96)/(P96-N96)</f>
        <v>-2.5270180120080053E-2</v>
      </c>
      <c r="S96" s="23" t="str">
        <f>IF(H96 &lt; N96, "Below Market", IF(H96 &gt; P96, "Above Market", "At Market"))</f>
        <v>Below Market</v>
      </c>
      <c r="T96" s="22" t="str">
        <f>B96 &amp; "-" &amp; D96</f>
        <v>Senior Financial Analyst-4</v>
      </c>
      <c r="U96" s="41">
        <f>AVERAGEIFS(H:H, K:K, "Female", B:B, B96, D:D, D96)</f>
        <v>94329.75</v>
      </c>
      <c r="V96" s="41">
        <f>AVERAGEIFS(H:H, K:K, "Male", B:B, B96, D:D, D96)</f>
        <v>94897.166666666672</v>
      </c>
      <c r="W96" s="27">
        <f>(V96-U96)/V96</f>
        <v>5.9792793251643075E-3</v>
      </c>
      <c r="X96" s="23" t="str">
        <f>IF(ABS(W96) &gt;= 0.1, "High Risk",
 IF(ABS(W96) &gt;= 0.05, "Moderate Risk",
 "Low Risk"))</f>
        <v>Low Risk</v>
      </c>
      <c r="Y96" t="str">
        <f>IF(J96&gt;=3,"Yes","No")</f>
        <v>Yes</v>
      </c>
      <c r="Z96">
        <f>IF(TRIM(S96)="Below Market",1,
 IF(TRIM(S96)="At Market",2,
 IF(TRIM(S96)="Above Market",3,0)))</f>
        <v>1</v>
      </c>
      <c r="AA96" s="26" cm="1">
        <f t="array" ref="AA96">IF($Y96&lt;&gt;"Yes",0,INDEX(Merit_Matrix!$B$2:$D$4,MATCH($J96,Merit_Matrix!$A$2:$A$4,0),Z96))</f>
        <v>3.5000000000000003E-2</v>
      </c>
      <c r="AB96" s="41">
        <f>H96*AA96</f>
        <v>3608.7100000000005</v>
      </c>
      <c r="AC96" s="41">
        <f>H96+AB96</f>
        <v>106714.71</v>
      </c>
      <c r="AD96" s="26">
        <f>AC96/O96</f>
        <v>0.77307092147203715</v>
      </c>
      <c r="AE9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7" spans="1:31" x14ac:dyDescent="0.3">
      <c r="A97">
        <v>1094</v>
      </c>
      <c r="B97" t="s">
        <v>23</v>
      </c>
      <c r="C97" t="s">
        <v>24</v>
      </c>
      <c r="D97">
        <v>4</v>
      </c>
      <c r="E97" t="s">
        <v>14</v>
      </c>
      <c r="F97" t="s">
        <v>24</v>
      </c>
      <c r="G97" t="s">
        <v>15</v>
      </c>
      <c r="H97" s="41">
        <v>103444</v>
      </c>
      <c r="I97" t="b">
        <v>1</v>
      </c>
      <c r="J97">
        <v>3</v>
      </c>
      <c r="K97" t="s">
        <v>16</v>
      </c>
      <c r="L97" s="1">
        <v>44418</v>
      </c>
      <c r="M97">
        <v>4</v>
      </c>
      <c r="N97" s="42">
        <f>VLOOKUP(B97,Market_Salary_Benchmarks!$A$1:$G$11,5,FALSE)</f>
        <v>82620</v>
      </c>
      <c r="O97" s="42">
        <f>VLOOKUP(B97,Market_Salary_Benchmarks!$A$1:$G$11,6,FALSE)</f>
        <v>110030</v>
      </c>
      <c r="P97" s="42">
        <f>VLOOKUP(B97,Market_Salary_Benchmarks!$A$1:$G$11,7,FALSE)</f>
        <v>146810</v>
      </c>
      <c r="Q97" s="26">
        <f>H97/O97</f>
        <v>0.94014359720076346</v>
      </c>
      <c r="R97" s="26">
        <f>(H97-N97)/(P97-N97)</f>
        <v>0.32441190216544635</v>
      </c>
      <c r="S97" s="23" t="str">
        <f>IF(H97 &lt; N97, "Below Market", IF(H97 &gt; P97, "Above Market", "At Market"))</f>
        <v>At Market</v>
      </c>
      <c r="T97" s="22" t="str">
        <f>B97 &amp; "-" &amp; D97</f>
        <v>HR Manager-4</v>
      </c>
      <c r="U97" s="41">
        <f>AVERAGEIFS(H:H, K:K, "Female", B:B, B97, D:D, D97)</f>
        <v>97910.769230769234</v>
      </c>
      <c r="V97" s="41">
        <f>AVERAGEIFS(H:H, K:K, "Male", B:B, B97, D:D, D97)</f>
        <v>96300.666666666672</v>
      </c>
      <c r="W97" s="27">
        <f>(V97-U97)/V97</f>
        <v>-1.6719537048229805E-2</v>
      </c>
      <c r="X97" s="23" t="str">
        <f>IF(ABS(W97) &gt;= 0.1, "High Risk",
 IF(ABS(W97) &gt;= 0.05, "Moderate Risk",
 "Low Risk"))</f>
        <v>Low Risk</v>
      </c>
      <c r="Y97" t="str">
        <f>IF(J97&gt;=3,"Yes","No")</f>
        <v>Yes</v>
      </c>
      <c r="Z97">
        <f>IF(TRIM(S97)="Below Market",1,
 IF(TRIM(S97)="At Market",2,
 IF(TRIM(S97)="Above Market",3,0)))</f>
        <v>2</v>
      </c>
      <c r="AA97" s="26" cm="1">
        <f t="array" ref="AA97">IF($Y97&lt;&gt;"Yes",0,INDEX(Merit_Matrix!$B$2:$D$4,MATCH($J97,Merit_Matrix!$A$2:$A$4,0),Z97))</f>
        <v>0.03</v>
      </c>
      <c r="AB97" s="41">
        <f>H97*AA97</f>
        <v>3103.3199999999997</v>
      </c>
      <c r="AC97" s="41">
        <f>H97+AB97</f>
        <v>106547.32</v>
      </c>
      <c r="AD97" s="26">
        <f>AC97/O97</f>
        <v>0.96834790511678637</v>
      </c>
      <c r="AE9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8" spans="1:31" x14ac:dyDescent="0.3">
      <c r="A98">
        <v>1095</v>
      </c>
      <c r="B98" t="s">
        <v>25</v>
      </c>
      <c r="C98" t="s">
        <v>26</v>
      </c>
      <c r="D98">
        <v>3</v>
      </c>
      <c r="E98" t="s">
        <v>14</v>
      </c>
      <c r="F98" t="s">
        <v>26</v>
      </c>
      <c r="G98" t="s">
        <v>15</v>
      </c>
      <c r="H98" s="41">
        <v>74544</v>
      </c>
      <c r="I98" t="b">
        <v>1</v>
      </c>
      <c r="J98">
        <v>4</v>
      </c>
      <c r="K98" t="s">
        <v>16</v>
      </c>
      <c r="L98" s="1">
        <v>44512</v>
      </c>
      <c r="M98">
        <v>9</v>
      </c>
      <c r="N98" s="42">
        <f>VLOOKUP(B98,Market_Salary_Benchmarks!$A$1:$G$11,5,FALSE)</f>
        <v>49460</v>
      </c>
      <c r="O98" s="42">
        <f>VLOOKUP(B98,Market_Salary_Benchmarks!$A$1:$G$11,6,FALSE)</f>
        <v>78370</v>
      </c>
      <c r="P98" s="42">
        <f>VLOOKUP(B98,Market_Salary_Benchmarks!$A$1:$G$11,7,FALSE)</f>
        <v>104330</v>
      </c>
      <c r="Q98" s="26">
        <f>H98/O98</f>
        <v>0.95118029858364173</v>
      </c>
      <c r="R98" s="26">
        <f>(H98-N98)/(P98-N98)</f>
        <v>0.45715327136868961</v>
      </c>
      <c r="S98" s="23" t="str">
        <f>IF(H98 &lt; N98, "Below Market", IF(H98 &gt; P98, "Above Market", "At Market"))</f>
        <v>At Market</v>
      </c>
      <c r="T98" s="22" t="str">
        <f>B98 &amp; "-" &amp; D98</f>
        <v>Financial Analyst-3</v>
      </c>
      <c r="U98" s="41">
        <f>AVERAGEIFS(H:H, K:K, "Female", B:B, B98, D:D, D98)</f>
        <v>76962.636363636368</v>
      </c>
      <c r="V98" s="41">
        <f>AVERAGEIFS(H:H, K:K, "Male", B:B, B98, D:D, D98)</f>
        <v>77416</v>
      </c>
      <c r="W98" s="27">
        <f>(V98-U98)/V98</f>
        <v>5.8562007383955823E-3</v>
      </c>
      <c r="X98" s="23" t="str">
        <f>IF(ABS(W98) &gt;= 0.1, "High Risk",
 IF(ABS(W98) &gt;= 0.05, "Moderate Risk",
 "Low Risk"))</f>
        <v>Low Risk</v>
      </c>
      <c r="Y98" t="str">
        <f>IF(J98&gt;=3,"Yes","No")</f>
        <v>Yes</v>
      </c>
      <c r="Z98">
        <f>IF(TRIM(S98)="Below Market",1,
 IF(TRIM(S98)="At Market",2,
 IF(TRIM(S98)="Above Market",3,0)))</f>
        <v>2</v>
      </c>
      <c r="AA98" s="26" cm="1">
        <f t="array" ref="AA98">IF($Y98&lt;&gt;"Yes",0,INDEX(Merit_Matrix!$B$2:$D$4,MATCH($J98,Merit_Matrix!$A$2:$A$4,0),Z98))</f>
        <v>0.04</v>
      </c>
      <c r="AB98" s="41">
        <f>H98*AA98</f>
        <v>2981.76</v>
      </c>
      <c r="AC98" s="41">
        <f>H98+AB98</f>
        <v>77525.759999999995</v>
      </c>
      <c r="AD98" s="26">
        <f>AC98/O98</f>
        <v>0.98922751052698732</v>
      </c>
      <c r="AE9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99" spans="1:31" x14ac:dyDescent="0.3">
      <c r="A99">
        <v>1096</v>
      </c>
      <c r="B99" t="s">
        <v>12</v>
      </c>
      <c r="C99" t="s">
        <v>13</v>
      </c>
      <c r="D99">
        <v>4</v>
      </c>
      <c r="E99" t="s">
        <v>14</v>
      </c>
      <c r="F99" t="s">
        <v>13</v>
      </c>
      <c r="G99" t="s">
        <v>15</v>
      </c>
      <c r="H99" s="41">
        <v>98357</v>
      </c>
      <c r="I99" t="b">
        <v>1</v>
      </c>
      <c r="J99">
        <v>4</v>
      </c>
      <c r="K99" t="s">
        <v>16</v>
      </c>
      <c r="L99" s="1">
        <v>42637</v>
      </c>
      <c r="M99">
        <v>2</v>
      </c>
      <c r="N99" s="42">
        <f>VLOOKUP(B99,Market_Salary_Benchmarks!$A$1:$G$11,5,FALSE)</f>
        <v>74720</v>
      </c>
      <c r="O99" s="42">
        <f>VLOOKUP(B99,Market_Salary_Benchmarks!$A$1:$G$11,6,FALSE)</f>
        <v>106330</v>
      </c>
      <c r="P99" s="42">
        <f>VLOOKUP(B99,Market_Salary_Benchmarks!$A$1:$G$11,7,FALSE)</f>
        <v>162780</v>
      </c>
      <c r="Q99" s="26">
        <f>H99/O99</f>
        <v>0.92501645819618172</v>
      </c>
      <c r="R99" s="26">
        <f>(H99-N99)/(P99-N99)</f>
        <v>0.26841925959573021</v>
      </c>
      <c r="S99" s="23" t="str">
        <f>IF(H99 &lt; N99, "Below Market", IF(H99 &gt; P99, "Above Market", "At Market"))</f>
        <v>At Market</v>
      </c>
      <c r="T99" s="22" t="str">
        <f>B99 &amp; "-" &amp; D99</f>
        <v>Operations Manager-4</v>
      </c>
      <c r="U99" s="41">
        <f>AVERAGEIFS(H:H, K:K, "Female", B:B, B99, D:D, D99)</f>
        <v>96094.111111111109</v>
      </c>
      <c r="V99" s="41">
        <f>AVERAGEIFS(H:H, K:K, "Male", B:B, B99, D:D, D99)</f>
        <v>95248.28571428571</v>
      </c>
      <c r="W99" s="27">
        <f>(V99-U99)/V99</f>
        <v>-8.8802164835029597E-3</v>
      </c>
      <c r="X99" s="23" t="str">
        <f>IF(ABS(W99) &gt;= 0.1, "High Risk",
 IF(ABS(W99) &gt;= 0.05, "Moderate Risk",
 "Low Risk"))</f>
        <v>Low Risk</v>
      </c>
      <c r="Y99" t="str">
        <f>IF(J99&gt;=3,"Yes","No")</f>
        <v>Yes</v>
      </c>
      <c r="Z99">
        <f>IF(TRIM(S99)="Below Market",1,
 IF(TRIM(S99)="At Market",2,
 IF(TRIM(S99)="Above Market",3,0)))</f>
        <v>2</v>
      </c>
      <c r="AA99" s="26" cm="1">
        <f t="array" ref="AA99">IF($Y99&lt;&gt;"Yes",0,INDEX(Merit_Matrix!$B$2:$D$4,MATCH($J99,Merit_Matrix!$A$2:$A$4,0),Z99))</f>
        <v>0.04</v>
      </c>
      <c r="AB99" s="41">
        <f>H99*AA99</f>
        <v>3934.28</v>
      </c>
      <c r="AC99" s="41">
        <f>H99+AB99</f>
        <v>102291.28</v>
      </c>
      <c r="AD99" s="26">
        <f>AC99/O99</f>
        <v>0.96201711652402899</v>
      </c>
      <c r="AE9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0" spans="1:31" x14ac:dyDescent="0.3">
      <c r="A100">
        <v>1097</v>
      </c>
      <c r="B100" t="s">
        <v>20</v>
      </c>
      <c r="C100" t="s">
        <v>13</v>
      </c>
      <c r="D100">
        <v>3</v>
      </c>
      <c r="E100" t="s">
        <v>21</v>
      </c>
      <c r="F100" t="s">
        <v>13</v>
      </c>
      <c r="G100" t="s">
        <v>15</v>
      </c>
      <c r="H100" s="41">
        <v>78580</v>
      </c>
      <c r="I100" t="b">
        <v>1</v>
      </c>
      <c r="J100">
        <v>3</v>
      </c>
      <c r="K100" t="s">
        <v>16</v>
      </c>
      <c r="L100" s="1">
        <v>45184</v>
      </c>
      <c r="M100">
        <v>8</v>
      </c>
      <c r="N100" s="42">
        <f>VLOOKUP(B100,Market_Salary_Benchmarks!$A$1:$G$11,5,FALSE)</f>
        <v>52500</v>
      </c>
      <c r="O100" s="42">
        <f>VLOOKUP(B100,Market_Salary_Benchmarks!$A$1:$G$11,6,FALSE)</f>
        <v>67210</v>
      </c>
      <c r="P100" s="42">
        <f>VLOOKUP(B100,Market_Salary_Benchmarks!$A$1:$G$11,7,FALSE)</f>
        <v>83970</v>
      </c>
      <c r="Q100" s="26">
        <f>H100/O100</f>
        <v>1.1691712542776374</v>
      </c>
      <c r="R100" s="26">
        <f>(H100-N100)/(P100-N100)</f>
        <v>0.82872577057515096</v>
      </c>
      <c r="S100" s="23" t="str">
        <f>IF(H100 &lt; N100, "Below Market", IF(H100 &gt; P100, "Above Market", "At Market"))</f>
        <v>At Market</v>
      </c>
      <c r="T100" s="22" t="str">
        <f>B100 &amp; "-" &amp; D100</f>
        <v>Operations Supervisor-3</v>
      </c>
      <c r="U100" s="41">
        <f>AVERAGEIFS(H:H, K:K, "Female", B:B, B100, D:D, D100)</f>
        <v>79072.21428571429</v>
      </c>
      <c r="V100" s="41">
        <f>AVERAGEIFS(H:H, K:K, "Male", B:B, B100, D:D, D100)</f>
        <v>76780.28571428571</v>
      </c>
      <c r="W100" s="27">
        <f>(V100-U100)/V100</f>
        <v>-2.9850482452713045E-2</v>
      </c>
      <c r="X100" s="23" t="str">
        <f>IF(ABS(W100) &gt;= 0.1, "High Risk",
 IF(ABS(W100) &gt;= 0.05, "Moderate Risk",
 "Low Risk"))</f>
        <v>Low Risk</v>
      </c>
      <c r="Y100" t="str">
        <f>IF(J100&gt;=3,"Yes","No")</f>
        <v>Yes</v>
      </c>
      <c r="Z100">
        <f>IF(TRIM(S100)="Below Market",1,
 IF(TRIM(S100)="At Market",2,
 IF(TRIM(S100)="Above Market",3,0)))</f>
        <v>2</v>
      </c>
      <c r="AA100" s="26" cm="1">
        <f t="array" ref="AA100">IF($Y100&lt;&gt;"Yes",0,INDEX(Merit_Matrix!$B$2:$D$4,MATCH($J100,Merit_Matrix!$A$2:$A$4,0),Z100))</f>
        <v>0.03</v>
      </c>
      <c r="AB100" s="41">
        <f>H100*AA100</f>
        <v>2357.4</v>
      </c>
      <c r="AC100" s="41">
        <f>H100+AB100</f>
        <v>80937.399999999994</v>
      </c>
      <c r="AD100" s="26">
        <f>AC100/O100</f>
        <v>1.2042463919059663</v>
      </c>
      <c r="AE10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1" spans="1:31" x14ac:dyDescent="0.3">
      <c r="A101">
        <v>1098</v>
      </c>
      <c r="B101" t="s">
        <v>27</v>
      </c>
      <c r="C101" t="s">
        <v>26</v>
      </c>
      <c r="D101">
        <v>4</v>
      </c>
      <c r="E101" t="s">
        <v>14</v>
      </c>
      <c r="F101" t="s">
        <v>26</v>
      </c>
      <c r="G101" t="s">
        <v>15</v>
      </c>
      <c r="H101" s="41">
        <v>92673</v>
      </c>
      <c r="I101" t="b">
        <v>1</v>
      </c>
      <c r="J101">
        <v>4</v>
      </c>
      <c r="K101" t="s">
        <v>19</v>
      </c>
      <c r="L101" s="1">
        <v>43133</v>
      </c>
      <c r="M101">
        <v>3</v>
      </c>
      <c r="N101" s="42">
        <f>VLOOKUP(B101,Market_Salary_Benchmarks!$A$1:$G$11,5,FALSE)</f>
        <v>105000</v>
      </c>
      <c r="O101" s="42">
        <f>VLOOKUP(B101,Market_Salary_Benchmarks!$A$1:$G$11,6,FALSE)</f>
        <v>138040</v>
      </c>
      <c r="P101" s="42">
        <f>VLOOKUP(B101,Market_Salary_Benchmarks!$A$1:$G$11,7,FALSE)</f>
        <v>179950</v>
      </c>
      <c r="Q101" s="26">
        <f>H101/O101</f>
        <v>0.67134888438133877</v>
      </c>
      <c r="R101" s="26">
        <f>(H101-N101)/(P101-N101)</f>
        <v>-0.16446964643095396</v>
      </c>
      <c r="S101" s="23" t="str">
        <f>IF(H101 &lt; N101, "Below Market", IF(H101 &gt; P101, "Above Market", "At Market"))</f>
        <v>Below Market</v>
      </c>
      <c r="T101" s="22" t="str">
        <f>B101 &amp; "-" &amp; D101</f>
        <v>Senior Financial Analyst-4</v>
      </c>
      <c r="U101" s="41">
        <f>AVERAGEIFS(H:H, K:K, "Female", B:B, B101, D:D, D101)</f>
        <v>94329.75</v>
      </c>
      <c r="V101" s="41">
        <f>AVERAGEIFS(H:H, K:K, "Male", B:B, B101, D:D, D101)</f>
        <v>94897.166666666672</v>
      </c>
      <c r="W101" s="27">
        <f>(V101-U101)/V101</f>
        <v>5.9792793251643075E-3</v>
      </c>
      <c r="X101" s="23" t="str">
        <f>IF(ABS(W101) &gt;= 0.1, "High Risk",
 IF(ABS(W101) &gt;= 0.05, "Moderate Risk",
 "Low Risk"))</f>
        <v>Low Risk</v>
      </c>
      <c r="Y101" t="str">
        <f>IF(J101&gt;=3,"Yes","No")</f>
        <v>Yes</v>
      </c>
      <c r="Z101">
        <f>IF(TRIM(S101)="Below Market",1,
 IF(TRIM(S101)="At Market",2,
 IF(TRIM(S101)="Above Market",3,0)))</f>
        <v>1</v>
      </c>
      <c r="AA101" s="26" cm="1">
        <f t="array" ref="AA101">IF($Y101&lt;&gt;"Yes",0,INDEX(Merit_Matrix!$B$2:$D$4,MATCH($J101,Merit_Matrix!$A$2:$A$4,0),Z101))</f>
        <v>0.05</v>
      </c>
      <c r="AB101" s="41">
        <f>H101*AA101</f>
        <v>4633.6500000000005</v>
      </c>
      <c r="AC101" s="41">
        <f>H101+AB101</f>
        <v>97306.65</v>
      </c>
      <c r="AD101" s="26">
        <f>AC101/O101</f>
        <v>0.70491632860040565</v>
      </c>
      <c r="AE10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02" spans="1:31" x14ac:dyDescent="0.3">
      <c r="A102">
        <v>1099</v>
      </c>
      <c r="B102" t="s">
        <v>20</v>
      </c>
      <c r="C102" t="s">
        <v>13</v>
      </c>
      <c r="D102">
        <v>3</v>
      </c>
      <c r="E102" t="s">
        <v>21</v>
      </c>
      <c r="F102" t="s">
        <v>13</v>
      </c>
      <c r="G102" t="s">
        <v>15</v>
      </c>
      <c r="H102" s="41">
        <v>76241</v>
      </c>
      <c r="I102" t="b">
        <v>1</v>
      </c>
      <c r="J102">
        <v>3</v>
      </c>
      <c r="K102" t="s">
        <v>19</v>
      </c>
      <c r="L102" s="1">
        <v>44852</v>
      </c>
      <c r="M102">
        <v>3</v>
      </c>
      <c r="N102" s="42">
        <f>VLOOKUP(B102,Market_Salary_Benchmarks!$A$1:$G$11,5,FALSE)</f>
        <v>52500</v>
      </c>
      <c r="O102" s="42">
        <f>VLOOKUP(B102,Market_Salary_Benchmarks!$A$1:$G$11,6,FALSE)</f>
        <v>67210</v>
      </c>
      <c r="P102" s="42">
        <f>VLOOKUP(B102,Market_Salary_Benchmarks!$A$1:$G$11,7,FALSE)</f>
        <v>83970</v>
      </c>
      <c r="Q102" s="26">
        <f>H102/O102</f>
        <v>1.1343698854337152</v>
      </c>
      <c r="R102" s="26">
        <f>(H102-N102)/(P102-N102)</f>
        <v>0.75440101684143623</v>
      </c>
      <c r="S102" s="23" t="str">
        <f>IF(H102 &lt; N102, "Below Market", IF(H102 &gt; P102, "Above Market", "At Market"))</f>
        <v>At Market</v>
      </c>
      <c r="T102" s="22" t="str">
        <f>B102 &amp; "-" &amp; D102</f>
        <v>Operations Supervisor-3</v>
      </c>
      <c r="U102" s="41">
        <f>AVERAGEIFS(H:H, K:K, "Female", B:B, B102, D:D, D102)</f>
        <v>79072.21428571429</v>
      </c>
      <c r="V102" s="41">
        <f>AVERAGEIFS(H:H, K:K, "Male", B:B, B102, D:D, D102)</f>
        <v>76780.28571428571</v>
      </c>
      <c r="W102" s="27">
        <f>(V102-U102)/V102</f>
        <v>-2.9850482452713045E-2</v>
      </c>
      <c r="X102" s="23" t="str">
        <f>IF(ABS(W102) &gt;= 0.1, "High Risk",
 IF(ABS(W102) &gt;= 0.05, "Moderate Risk",
 "Low Risk"))</f>
        <v>Low Risk</v>
      </c>
      <c r="Y102" t="str">
        <f>IF(J102&gt;=3,"Yes","No")</f>
        <v>Yes</v>
      </c>
      <c r="Z102">
        <f>IF(TRIM(S102)="Below Market",1,
 IF(TRIM(S102)="At Market",2,
 IF(TRIM(S102)="Above Market",3,0)))</f>
        <v>2</v>
      </c>
      <c r="AA102" s="26" cm="1">
        <f t="array" ref="AA102">IF($Y102&lt;&gt;"Yes",0,INDEX(Merit_Matrix!$B$2:$D$4,MATCH($J102,Merit_Matrix!$A$2:$A$4,0),Z102))</f>
        <v>0.03</v>
      </c>
      <c r="AB102" s="41">
        <f>H102*AA102</f>
        <v>2287.23</v>
      </c>
      <c r="AC102" s="41">
        <f>H102+AB102</f>
        <v>78528.23</v>
      </c>
      <c r="AD102" s="26">
        <f>AC102/O102</f>
        <v>1.1684009819967267</v>
      </c>
      <c r="AE10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3" spans="1:31" x14ac:dyDescent="0.3">
      <c r="A103">
        <v>1100</v>
      </c>
      <c r="B103" t="s">
        <v>25</v>
      </c>
      <c r="C103" t="s">
        <v>26</v>
      </c>
      <c r="D103">
        <v>3</v>
      </c>
      <c r="E103" t="s">
        <v>14</v>
      </c>
      <c r="F103" t="s">
        <v>26</v>
      </c>
      <c r="G103" t="s">
        <v>15</v>
      </c>
      <c r="H103" s="41">
        <v>74261</v>
      </c>
      <c r="I103" t="b">
        <v>1</v>
      </c>
      <c r="J103">
        <v>3</v>
      </c>
      <c r="K103" t="s">
        <v>19</v>
      </c>
      <c r="L103" s="1">
        <v>44498</v>
      </c>
      <c r="M103">
        <v>6</v>
      </c>
      <c r="N103" s="42">
        <f>VLOOKUP(B103,Market_Salary_Benchmarks!$A$1:$G$11,5,FALSE)</f>
        <v>49460</v>
      </c>
      <c r="O103" s="42">
        <f>VLOOKUP(B103,Market_Salary_Benchmarks!$A$1:$G$11,6,FALSE)</f>
        <v>78370</v>
      </c>
      <c r="P103" s="42">
        <f>VLOOKUP(B103,Market_Salary_Benchmarks!$A$1:$G$11,7,FALSE)</f>
        <v>104330</v>
      </c>
      <c r="Q103" s="26">
        <f>H103/O103</f>
        <v>0.94756922291693246</v>
      </c>
      <c r="R103" s="26">
        <f>(H103-N103)/(P103-N103)</f>
        <v>0.45199562602515037</v>
      </c>
      <c r="S103" s="23" t="str">
        <f>IF(H103 &lt; N103, "Below Market", IF(H103 &gt; P103, "Above Market", "At Market"))</f>
        <v>At Market</v>
      </c>
      <c r="T103" s="22" t="str">
        <f>B103 &amp; "-" &amp; D103</f>
        <v>Financial Analyst-3</v>
      </c>
      <c r="U103" s="41">
        <f>AVERAGEIFS(H:H, K:K, "Female", B:B, B103, D:D, D103)</f>
        <v>76962.636363636368</v>
      </c>
      <c r="V103" s="41">
        <f>AVERAGEIFS(H:H, K:K, "Male", B:B, B103, D:D, D103)</f>
        <v>77416</v>
      </c>
      <c r="W103" s="27">
        <f>(V103-U103)/V103</f>
        <v>5.8562007383955823E-3</v>
      </c>
      <c r="X103" s="23" t="str">
        <f>IF(ABS(W103) &gt;= 0.1, "High Risk",
 IF(ABS(W103) &gt;= 0.05, "Moderate Risk",
 "Low Risk"))</f>
        <v>Low Risk</v>
      </c>
      <c r="Y103" t="str">
        <f>IF(J103&gt;=3,"Yes","No")</f>
        <v>Yes</v>
      </c>
      <c r="Z103">
        <f>IF(TRIM(S103)="Below Market",1,
 IF(TRIM(S103)="At Market",2,
 IF(TRIM(S103)="Above Market",3,0)))</f>
        <v>2</v>
      </c>
      <c r="AA103" s="26" cm="1">
        <f t="array" ref="AA103">IF($Y103&lt;&gt;"Yes",0,INDEX(Merit_Matrix!$B$2:$D$4,MATCH($J103,Merit_Matrix!$A$2:$A$4,0),Z103))</f>
        <v>0.03</v>
      </c>
      <c r="AB103" s="41">
        <f>H103*AA103</f>
        <v>2227.83</v>
      </c>
      <c r="AC103" s="41">
        <f>H103+AB103</f>
        <v>76488.83</v>
      </c>
      <c r="AD103" s="26">
        <f>AC103/O103</f>
        <v>0.97599629960444045</v>
      </c>
      <c r="AE10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4" spans="1:31" x14ac:dyDescent="0.3">
      <c r="A104">
        <v>1101</v>
      </c>
      <c r="B104" t="s">
        <v>25</v>
      </c>
      <c r="C104" t="s">
        <v>26</v>
      </c>
      <c r="D104">
        <v>3</v>
      </c>
      <c r="E104" t="s">
        <v>14</v>
      </c>
      <c r="F104" t="s">
        <v>26</v>
      </c>
      <c r="G104" t="s">
        <v>15</v>
      </c>
      <c r="H104" s="41">
        <v>76327</v>
      </c>
      <c r="I104" t="b">
        <v>1</v>
      </c>
      <c r="J104">
        <v>5</v>
      </c>
      <c r="K104" t="s">
        <v>19</v>
      </c>
      <c r="L104" s="1">
        <v>43843</v>
      </c>
      <c r="M104">
        <v>14</v>
      </c>
      <c r="N104" s="42">
        <f>VLOOKUP(B104,Market_Salary_Benchmarks!$A$1:$G$11,5,FALSE)</f>
        <v>49460</v>
      </c>
      <c r="O104" s="42">
        <f>VLOOKUP(B104,Market_Salary_Benchmarks!$A$1:$G$11,6,FALSE)</f>
        <v>78370</v>
      </c>
      <c r="P104" s="42">
        <f>VLOOKUP(B104,Market_Salary_Benchmarks!$A$1:$G$11,7,FALSE)</f>
        <v>104330</v>
      </c>
      <c r="Q104" s="26">
        <f>H104/O104</f>
        <v>0.97393135128237851</v>
      </c>
      <c r="R104" s="26">
        <f>(H104-N104)/(P104-N104)</f>
        <v>0.48964825952250773</v>
      </c>
      <c r="S104" s="23" t="str">
        <f>IF(H104 &lt; N104, "Below Market", IF(H104 &gt; P104, "Above Market", "At Market"))</f>
        <v>At Market</v>
      </c>
      <c r="T104" s="22" t="str">
        <f>B104 &amp; "-" &amp; D104</f>
        <v>Financial Analyst-3</v>
      </c>
      <c r="U104" s="41">
        <f>AVERAGEIFS(H:H, K:K, "Female", B:B, B104, D:D, D104)</f>
        <v>76962.636363636368</v>
      </c>
      <c r="V104" s="41">
        <f>AVERAGEIFS(H:H, K:K, "Male", B:B, B104, D:D, D104)</f>
        <v>77416</v>
      </c>
      <c r="W104" s="27">
        <f>(V104-U104)/V104</f>
        <v>5.8562007383955823E-3</v>
      </c>
      <c r="X104" s="23" t="str">
        <f>IF(ABS(W104) &gt;= 0.1, "High Risk",
 IF(ABS(W104) &gt;= 0.05, "Moderate Risk",
 "Low Risk"))</f>
        <v>Low Risk</v>
      </c>
      <c r="Y104" t="str">
        <f>IF(J104&gt;=3,"Yes","No")</f>
        <v>Yes</v>
      </c>
      <c r="Z104">
        <f>IF(TRIM(S104)="Below Market",1,
 IF(TRIM(S104)="At Market",2,
 IF(TRIM(S104)="Above Market",3,0)))</f>
        <v>2</v>
      </c>
      <c r="AA104" s="26" cm="1">
        <f t="array" ref="AA104">IF($Y104&lt;&gt;"Yes",0,INDEX(Merit_Matrix!$B$2:$D$4,MATCH($J104,Merit_Matrix!$A$2:$A$4,0),Z104))</f>
        <v>0.05</v>
      </c>
      <c r="AB104" s="41">
        <f>H104*AA104</f>
        <v>3816.3500000000004</v>
      </c>
      <c r="AC104" s="41">
        <f>H104+AB104</f>
        <v>80143.350000000006</v>
      </c>
      <c r="AD104" s="26">
        <f>AC104/O104</f>
        <v>1.0226279188464975</v>
      </c>
      <c r="AE10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5" spans="1:31" x14ac:dyDescent="0.3">
      <c r="A105">
        <v>1102</v>
      </c>
      <c r="B105" t="s">
        <v>30</v>
      </c>
      <c r="C105" t="s">
        <v>24</v>
      </c>
      <c r="D105">
        <v>2</v>
      </c>
      <c r="E105" t="s">
        <v>21</v>
      </c>
      <c r="F105" t="s">
        <v>24</v>
      </c>
      <c r="G105" t="s">
        <v>15</v>
      </c>
      <c r="H105" s="41">
        <v>56254</v>
      </c>
      <c r="I105" t="b">
        <v>0</v>
      </c>
      <c r="J105">
        <v>3</v>
      </c>
      <c r="K105" t="s">
        <v>19</v>
      </c>
      <c r="L105" s="1">
        <v>44305</v>
      </c>
      <c r="M105">
        <v>9</v>
      </c>
      <c r="N105" s="42">
        <f>VLOOKUP(B105,Market_Salary_Benchmarks!$A$1:$G$11,5,FALSE)</f>
        <v>37930</v>
      </c>
      <c r="O105" s="42">
        <f>VLOOKUP(B105,Market_Salary_Benchmarks!$A$1:$G$11,6,FALSE)</f>
        <v>45470</v>
      </c>
      <c r="P105" s="42">
        <f>VLOOKUP(B105,Market_Salary_Benchmarks!$A$1:$G$11,7,FALSE)</f>
        <v>54160</v>
      </c>
      <c r="Q105" s="26">
        <f>H105/O105</f>
        <v>1.2371673630965472</v>
      </c>
      <c r="R105" s="26">
        <f>(H105-N105)/(P105-N105)</f>
        <v>1.1290203327171904</v>
      </c>
      <c r="S105" s="23" t="str">
        <f>IF(H105 &lt; N105, "Below Market", IF(H105 &gt; P105, "Above Market", "At Market"))</f>
        <v>Above Market</v>
      </c>
      <c r="T105" s="22" t="str">
        <f>B105 &amp; "-" &amp; D105</f>
        <v>Payroll Specialist-2</v>
      </c>
      <c r="U105" s="41">
        <f>AVERAGEIFS(H:H, K:K, "Female", B:B, B105, D:D, D105)</f>
        <v>58334.555555555555</v>
      </c>
      <c r="V105" s="41">
        <f>AVERAGEIFS(H:H, K:K, "Male", B:B, B105, D:D, D105)</f>
        <v>56264.5</v>
      </c>
      <c r="W105" s="27">
        <f>(V105-U105)/V105</f>
        <v>-3.6791503622276123E-2</v>
      </c>
      <c r="X105" s="23" t="str">
        <f>IF(ABS(W105) &gt;= 0.1, "High Risk",
 IF(ABS(W105) &gt;= 0.05, "Moderate Risk",
 "Low Risk"))</f>
        <v>Low Risk</v>
      </c>
      <c r="Y105" t="str">
        <f>IF(J105&gt;=3,"Yes","No")</f>
        <v>Yes</v>
      </c>
      <c r="Z105">
        <f>IF(TRIM(S105)="Below Market",1,
 IF(TRIM(S105)="At Market",2,
 IF(TRIM(S105)="Above Market",3,0)))</f>
        <v>3</v>
      </c>
      <c r="AA105" s="26" cm="1">
        <f t="array" ref="AA105">IF($Y105&lt;&gt;"Yes",0,INDEX(Merit_Matrix!$B$2:$D$4,MATCH($J105,Merit_Matrix!$A$2:$A$4,0),Z105))</f>
        <v>0.02</v>
      </c>
      <c r="AB105" s="41">
        <f>H105*AA105</f>
        <v>1125.08</v>
      </c>
      <c r="AC105" s="41">
        <f>H105+AB105</f>
        <v>57379.08</v>
      </c>
      <c r="AD105" s="26">
        <f>AC105/O105</f>
        <v>1.2619107103584781</v>
      </c>
      <c r="AE105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06" spans="1:31" x14ac:dyDescent="0.3">
      <c r="A106">
        <v>1103</v>
      </c>
      <c r="B106" t="s">
        <v>25</v>
      </c>
      <c r="C106" t="s">
        <v>26</v>
      </c>
      <c r="D106">
        <v>3</v>
      </c>
      <c r="E106" t="s">
        <v>14</v>
      </c>
      <c r="F106" t="s">
        <v>26</v>
      </c>
      <c r="G106" t="s">
        <v>15</v>
      </c>
      <c r="H106" s="41">
        <v>81139</v>
      </c>
      <c r="I106" t="b">
        <v>1</v>
      </c>
      <c r="J106">
        <v>3</v>
      </c>
      <c r="K106" t="s">
        <v>16</v>
      </c>
      <c r="L106" s="1">
        <v>43036</v>
      </c>
      <c r="M106">
        <v>14</v>
      </c>
      <c r="N106" s="42">
        <f>VLOOKUP(B106,Market_Salary_Benchmarks!$A$1:$G$11,5,FALSE)</f>
        <v>49460</v>
      </c>
      <c r="O106" s="42">
        <f>VLOOKUP(B106,Market_Salary_Benchmarks!$A$1:$G$11,6,FALSE)</f>
        <v>78370</v>
      </c>
      <c r="P106" s="42">
        <f>VLOOKUP(B106,Market_Salary_Benchmarks!$A$1:$G$11,7,FALSE)</f>
        <v>104330</v>
      </c>
      <c r="Q106" s="26">
        <f>H106/O106</f>
        <v>1.0353323976011228</v>
      </c>
      <c r="R106" s="26">
        <f>(H106-N106)/(P106-N106)</f>
        <v>0.57734645525788231</v>
      </c>
      <c r="S106" s="23" t="str">
        <f>IF(H106 &lt; N106, "Below Market", IF(H106 &gt; P106, "Above Market", "At Market"))</f>
        <v>At Market</v>
      </c>
      <c r="T106" s="22" t="str">
        <f>B106 &amp; "-" &amp; D106</f>
        <v>Financial Analyst-3</v>
      </c>
      <c r="U106" s="41">
        <f>AVERAGEIFS(H:H, K:K, "Female", B:B, B106, D:D, D106)</f>
        <v>76962.636363636368</v>
      </c>
      <c r="V106" s="41">
        <f>AVERAGEIFS(H:H, K:K, "Male", B:B, B106, D:D, D106)</f>
        <v>77416</v>
      </c>
      <c r="W106" s="27">
        <f>(V106-U106)/V106</f>
        <v>5.8562007383955823E-3</v>
      </c>
      <c r="X106" s="23" t="str">
        <f>IF(ABS(W106) &gt;= 0.1, "High Risk",
 IF(ABS(W106) &gt;= 0.05, "Moderate Risk",
 "Low Risk"))</f>
        <v>Low Risk</v>
      </c>
      <c r="Y106" t="str">
        <f>IF(J106&gt;=3,"Yes","No")</f>
        <v>Yes</v>
      </c>
      <c r="Z106">
        <f>IF(TRIM(S106)="Below Market",1,
 IF(TRIM(S106)="At Market",2,
 IF(TRIM(S106)="Above Market",3,0)))</f>
        <v>2</v>
      </c>
      <c r="AA106" s="26" cm="1">
        <f t="array" ref="AA106">IF($Y106&lt;&gt;"Yes",0,INDEX(Merit_Matrix!$B$2:$D$4,MATCH($J106,Merit_Matrix!$A$2:$A$4,0),Z106))</f>
        <v>0.03</v>
      </c>
      <c r="AB106" s="41">
        <f>H106*AA106</f>
        <v>2434.17</v>
      </c>
      <c r="AC106" s="41">
        <f>H106+AB106</f>
        <v>83573.17</v>
      </c>
      <c r="AD106" s="26">
        <f>AC106/O106</f>
        <v>1.0663923695291566</v>
      </c>
      <c r="AE10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7" spans="1:31" x14ac:dyDescent="0.3">
      <c r="A107">
        <v>1104</v>
      </c>
      <c r="B107" t="s">
        <v>28</v>
      </c>
      <c r="C107" t="s">
        <v>24</v>
      </c>
      <c r="D107">
        <v>3</v>
      </c>
      <c r="E107" t="s">
        <v>14</v>
      </c>
      <c r="F107" t="s">
        <v>24</v>
      </c>
      <c r="G107" t="s">
        <v>15</v>
      </c>
      <c r="H107" s="41">
        <v>76777</v>
      </c>
      <c r="I107" t="b">
        <v>1</v>
      </c>
      <c r="J107">
        <v>1</v>
      </c>
      <c r="K107" t="s">
        <v>19</v>
      </c>
      <c r="L107" s="1">
        <v>43859</v>
      </c>
      <c r="M107">
        <v>13</v>
      </c>
      <c r="N107" s="42">
        <f>VLOOKUP(B107,Market_Salary_Benchmarks!$A$1:$G$11,5,FALSE)</f>
        <v>50970</v>
      </c>
      <c r="O107" s="42">
        <f>VLOOKUP(B107,Market_Salary_Benchmarks!$A$1:$G$11,6,FALSE)</f>
        <v>56720</v>
      </c>
      <c r="P107" s="42">
        <f>VLOOKUP(B107,Market_Salary_Benchmarks!$A$1:$G$11,7,FALSE)</f>
        <v>75360</v>
      </c>
      <c r="Q107" s="26">
        <f>H107/O107</f>
        <v>1.3536142454160789</v>
      </c>
      <c r="R107" s="26">
        <f>(H107-N107)/(P107-N107)</f>
        <v>1.0580975809758097</v>
      </c>
      <c r="S107" s="23" t="str">
        <f>IF(H107 &lt; N107, "Below Market", IF(H107 &gt; P107, "Above Market", "At Market"))</f>
        <v>Above Market</v>
      </c>
      <c r="T107" s="22" t="str">
        <f>B107 &amp; "-" &amp; D107</f>
        <v>Compensation Analyst-3</v>
      </c>
      <c r="U107" s="41">
        <f>AVERAGEIFS(H:H, K:K, "Female", B:B, B107, D:D, D107)</f>
        <v>76621.166666666672</v>
      </c>
      <c r="V107" s="41">
        <f>AVERAGEIFS(H:H, K:K, "Male", B:B, B107, D:D, D107)</f>
        <v>77763.875</v>
      </c>
      <c r="W107" s="27">
        <f>(V107-U107)/V107</f>
        <v>1.4694590943845436E-2</v>
      </c>
      <c r="X107" s="23" t="str">
        <f>IF(ABS(W107) &gt;= 0.1, "High Risk",
 IF(ABS(W107) &gt;= 0.05, "Moderate Risk",
 "Low Risk"))</f>
        <v>Low Risk</v>
      </c>
      <c r="Y107" t="str">
        <f>IF(J107&gt;=3,"Yes","No")</f>
        <v>No</v>
      </c>
      <c r="Z107">
        <f>IF(TRIM(S107)="Below Market",1,
 IF(TRIM(S107)="At Market",2,
 IF(TRIM(S107)="Above Market",3,0)))</f>
        <v>3</v>
      </c>
      <c r="AA107" s="26" cm="1">
        <f t="array" ref="AA107">IF($Y107&lt;&gt;"Yes",0,INDEX(Merit_Matrix!$B$2:$D$4,MATCH($J107,Merit_Matrix!$A$2:$A$4,0),Z107))</f>
        <v>0</v>
      </c>
      <c r="AB107" s="41">
        <f>H107*AA107</f>
        <v>0</v>
      </c>
      <c r="AC107" s="41">
        <f>H107+AB107</f>
        <v>76777</v>
      </c>
      <c r="AD107" s="26">
        <f>AC107/O107</f>
        <v>1.3536142454160789</v>
      </c>
      <c r="AE107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08" spans="1:31" x14ac:dyDescent="0.3">
      <c r="A108">
        <v>1105</v>
      </c>
      <c r="B108" t="s">
        <v>23</v>
      </c>
      <c r="C108" t="s">
        <v>24</v>
      </c>
      <c r="D108">
        <v>4</v>
      </c>
      <c r="E108" t="s">
        <v>14</v>
      </c>
      <c r="F108" t="s">
        <v>24</v>
      </c>
      <c r="G108" t="s">
        <v>15</v>
      </c>
      <c r="H108" s="41">
        <v>101716</v>
      </c>
      <c r="I108" t="b">
        <v>1</v>
      </c>
      <c r="J108">
        <v>3</v>
      </c>
      <c r="K108" t="s">
        <v>19</v>
      </c>
      <c r="L108" s="1">
        <v>44650</v>
      </c>
      <c r="M108">
        <v>13</v>
      </c>
      <c r="N108" s="42">
        <f>VLOOKUP(B108,Market_Salary_Benchmarks!$A$1:$G$11,5,FALSE)</f>
        <v>82620</v>
      </c>
      <c r="O108" s="42">
        <f>VLOOKUP(B108,Market_Salary_Benchmarks!$A$1:$G$11,6,FALSE)</f>
        <v>110030</v>
      </c>
      <c r="P108" s="42">
        <f>VLOOKUP(B108,Market_Salary_Benchmarks!$A$1:$G$11,7,FALSE)</f>
        <v>146810</v>
      </c>
      <c r="Q108" s="26">
        <f>H108/O108</f>
        <v>0.92443878942106694</v>
      </c>
      <c r="R108" s="26">
        <f>(H108-N108)/(P108-N108)</f>
        <v>0.2974918211559433</v>
      </c>
      <c r="S108" s="23" t="str">
        <f>IF(H108 &lt; N108, "Below Market", IF(H108 &gt; P108, "Above Market", "At Market"))</f>
        <v>At Market</v>
      </c>
      <c r="T108" s="22" t="str">
        <f>B108 &amp; "-" &amp; D108</f>
        <v>HR Manager-4</v>
      </c>
      <c r="U108" s="41">
        <f>AVERAGEIFS(H:H, K:K, "Female", B:B, B108, D:D, D108)</f>
        <v>97910.769230769234</v>
      </c>
      <c r="V108" s="41">
        <f>AVERAGEIFS(H:H, K:K, "Male", B:B, B108, D:D, D108)</f>
        <v>96300.666666666672</v>
      </c>
      <c r="W108" s="27">
        <f>(V108-U108)/V108</f>
        <v>-1.6719537048229805E-2</v>
      </c>
      <c r="X108" s="23" t="str">
        <f>IF(ABS(W108) &gt;= 0.1, "High Risk",
 IF(ABS(W108) &gt;= 0.05, "Moderate Risk",
 "Low Risk"))</f>
        <v>Low Risk</v>
      </c>
      <c r="Y108" t="str">
        <f>IF(J108&gt;=3,"Yes","No")</f>
        <v>Yes</v>
      </c>
      <c r="Z108">
        <f>IF(TRIM(S108)="Below Market",1,
 IF(TRIM(S108)="At Market",2,
 IF(TRIM(S108)="Above Market",3,0)))</f>
        <v>2</v>
      </c>
      <c r="AA108" s="26" cm="1">
        <f t="array" ref="AA108">IF($Y108&lt;&gt;"Yes",0,INDEX(Merit_Matrix!$B$2:$D$4,MATCH($J108,Merit_Matrix!$A$2:$A$4,0),Z108))</f>
        <v>0.03</v>
      </c>
      <c r="AB108" s="41">
        <f>H108*AA108</f>
        <v>3051.48</v>
      </c>
      <c r="AC108" s="41">
        <f>H108+AB108</f>
        <v>104767.48</v>
      </c>
      <c r="AD108" s="26">
        <f>AC108/O108</f>
        <v>0.95217195310369895</v>
      </c>
      <c r="AE10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09" spans="1:31" x14ac:dyDescent="0.3">
      <c r="A109">
        <v>1106</v>
      </c>
      <c r="B109" t="s">
        <v>23</v>
      </c>
      <c r="C109" t="s">
        <v>24</v>
      </c>
      <c r="D109">
        <v>4</v>
      </c>
      <c r="E109" t="s">
        <v>14</v>
      </c>
      <c r="F109" t="s">
        <v>24</v>
      </c>
      <c r="G109" t="s">
        <v>15</v>
      </c>
      <c r="H109" s="41">
        <v>98160</v>
      </c>
      <c r="I109" t="b">
        <v>1</v>
      </c>
      <c r="J109">
        <v>3</v>
      </c>
      <c r="K109" t="s">
        <v>19</v>
      </c>
      <c r="L109" s="1">
        <v>45211</v>
      </c>
      <c r="M109">
        <v>10</v>
      </c>
      <c r="N109" s="42">
        <f>VLOOKUP(B109,Market_Salary_Benchmarks!$A$1:$G$11,5,FALSE)</f>
        <v>82620</v>
      </c>
      <c r="O109" s="42">
        <f>VLOOKUP(B109,Market_Salary_Benchmarks!$A$1:$G$11,6,FALSE)</f>
        <v>110030</v>
      </c>
      <c r="P109" s="42">
        <f>VLOOKUP(B109,Market_Salary_Benchmarks!$A$1:$G$11,7,FALSE)</f>
        <v>146810</v>
      </c>
      <c r="Q109" s="26">
        <f>H109/O109</f>
        <v>0.89212033081886755</v>
      </c>
      <c r="R109" s="26">
        <f>(H109-N109)/(P109-N109)</f>
        <v>0.24209378407851689</v>
      </c>
      <c r="S109" s="23" t="str">
        <f>IF(H109 &lt; N109, "Below Market", IF(H109 &gt; P109, "Above Market", "At Market"))</f>
        <v>At Market</v>
      </c>
      <c r="T109" s="22" t="str">
        <f>B109 &amp; "-" &amp; D109</f>
        <v>HR Manager-4</v>
      </c>
      <c r="U109" s="41">
        <f>AVERAGEIFS(H:H, K:K, "Female", B:B, B109, D:D, D109)</f>
        <v>97910.769230769234</v>
      </c>
      <c r="V109" s="41">
        <f>AVERAGEIFS(H:H, K:K, "Male", B:B, B109, D:D, D109)</f>
        <v>96300.666666666672</v>
      </c>
      <c r="W109" s="27">
        <f>(V109-U109)/V109</f>
        <v>-1.6719537048229805E-2</v>
      </c>
      <c r="X109" s="23" t="str">
        <f>IF(ABS(W109) &gt;= 0.1, "High Risk",
 IF(ABS(W109) &gt;= 0.05, "Moderate Risk",
 "Low Risk"))</f>
        <v>Low Risk</v>
      </c>
      <c r="Y109" t="str">
        <f>IF(J109&gt;=3,"Yes","No")</f>
        <v>Yes</v>
      </c>
      <c r="Z109">
        <f>IF(TRIM(S109)="Below Market",1,
 IF(TRIM(S109)="At Market",2,
 IF(TRIM(S109)="Above Market",3,0)))</f>
        <v>2</v>
      </c>
      <c r="AA109" s="26" cm="1">
        <f t="array" ref="AA109">IF($Y109&lt;&gt;"Yes",0,INDEX(Merit_Matrix!$B$2:$D$4,MATCH($J109,Merit_Matrix!$A$2:$A$4,0),Z109))</f>
        <v>0.03</v>
      </c>
      <c r="AB109" s="41">
        <f>H109*AA109</f>
        <v>2944.7999999999997</v>
      </c>
      <c r="AC109" s="41">
        <f>H109+AB109</f>
        <v>101104.8</v>
      </c>
      <c r="AD109" s="26">
        <f>AC109/O109</f>
        <v>0.9188839407434336</v>
      </c>
      <c r="AE10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10" spans="1:31" x14ac:dyDescent="0.3">
      <c r="A110">
        <v>1107</v>
      </c>
      <c r="B110" t="s">
        <v>22</v>
      </c>
      <c r="C110" t="s">
        <v>18</v>
      </c>
      <c r="D110">
        <v>3</v>
      </c>
      <c r="E110" t="s">
        <v>14</v>
      </c>
      <c r="F110" t="s">
        <v>18</v>
      </c>
      <c r="G110" t="s">
        <v>15</v>
      </c>
      <c r="H110" s="41">
        <v>80478</v>
      </c>
      <c r="I110" t="b">
        <v>1</v>
      </c>
      <c r="J110">
        <v>5</v>
      </c>
      <c r="K110" t="s">
        <v>19</v>
      </c>
      <c r="L110" s="1">
        <v>42706</v>
      </c>
      <c r="M110">
        <v>11</v>
      </c>
      <c r="N110" s="42">
        <f>VLOOKUP(B110,Market_Salary_Benchmarks!$A$1:$G$11,5,FALSE)</f>
        <v>103040</v>
      </c>
      <c r="O110" s="42">
        <f>VLOOKUP(B110,Market_Salary_Benchmarks!$A$1:$G$11,6,FALSE)</f>
        <v>133500</v>
      </c>
      <c r="P110" s="42">
        <f>VLOOKUP(B110,Market_Salary_Benchmarks!$A$1:$G$11,7,FALSE)</f>
        <v>171680</v>
      </c>
      <c r="Q110" s="26">
        <f>H110/O110</f>
        <v>0.60283146067415727</v>
      </c>
      <c r="R110" s="26">
        <f>(H110-N110)/(P110-N110)</f>
        <v>-0.32870046620046622</v>
      </c>
      <c r="S110" s="23" t="str">
        <f>IF(H110 &lt; N110, "Below Market", IF(H110 &gt; P110, "Above Market", "At Market"))</f>
        <v>Below Market</v>
      </c>
      <c r="T110" s="22" t="str">
        <f>B110 &amp; "-" &amp; D110</f>
        <v>Senior IT Analyst-3</v>
      </c>
      <c r="U110" s="41">
        <f>AVERAGEIFS(H:H, K:K, "Female", B:B, B110, D:D, D110)</f>
        <v>78401.571428571435</v>
      </c>
      <c r="V110" s="41">
        <f>AVERAGEIFS(H:H, K:K, "Male", B:B, B110, D:D, D110)</f>
        <v>75875.125</v>
      </c>
      <c r="W110" s="27">
        <f>(V110-U110)/V110</f>
        <v>-3.3297426904686282E-2</v>
      </c>
      <c r="X110" s="23" t="str">
        <f>IF(ABS(W110) &gt;= 0.1, "High Risk",
 IF(ABS(W110) &gt;= 0.05, "Moderate Risk",
 "Low Risk"))</f>
        <v>Low Risk</v>
      </c>
      <c r="Y110" t="str">
        <f>IF(J110&gt;=3,"Yes","No")</f>
        <v>Yes</v>
      </c>
      <c r="Z110">
        <f>IF(TRIM(S110)="Below Market",1,
 IF(TRIM(S110)="At Market",2,
 IF(TRIM(S110)="Above Market",3,0)))</f>
        <v>1</v>
      </c>
      <c r="AA110" s="26" cm="1">
        <f t="array" ref="AA110">IF($Y110&lt;&gt;"Yes",0,INDEX(Merit_Matrix!$B$2:$D$4,MATCH($J110,Merit_Matrix!$A$2:$A$4,0),Z110))</f>
        <v>0.06</v>
      </c>
      <c r="AB110" s="41">
        <f>H110*AA110</f>
        <v>4828.6799999999994</v>
      </c>
      <c r="AC110" s="41">
        <f>H110+AB110</f>
        <v>85306.68</v>
      </c>
      <c r="AD110" s="26">
        <f>AC110/O110</f>
        <v>0.63900134831460664</v>
      </c>
      <c r="AE110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11" spans="1:31" x14ac:dyDescent="0.3">
      <c r="A111">
        <v>1108</v>
      </c>
      <c r="B111" t="s">
        <v>25</v>
      </c>
      <c r="C111" t="s">
        <v>26</v>
      </c>
      <c r="D111">
        <v>3</v>
      </c>
      <c r="E111" t="s">
        <v>14</v>
      </c>
      <c r="F111" t="s">
        <v>26</v>
      </c>
      <c r="G111" t="s">
        <v>15</v>
      </c>
      <c r="H111" s="41">
        <v>80247</v>
      </c>
      <c r="I111" t="b">
        <v>1</v>
      </c>
      <c r="J111">
        <v>2</v>
      </c>
      <c r="K111" t="s">
        <v>19</v>
      </c>
      <c r="L111" s="1">
        <v>42672</v>
      </c>
      <c r="M111">
        <v>9</v>
      </c>
      <c r="N111" s="42">
        <f>VLOOKUP(B111,Market_Salary_Benchmarks!$A$1:$G$11,5,FALSE)</f>
        <v>49460</v>
      </c>
      <c r="O111" s="42">
        <f>VLOOKUP(B111,Market_Salary_Benchmarks!$A$1:$G$11,6,FALSE)</f>
        <v>78370</v>
      </c>
      <c r="P111" s="42">
        <f>VLOOKUP(B111,Market_Salary_Benchmarks!$A$1:$G$11,7,FALSE)</f>
        <v>104330</v>
      </c>
      <c r="Q111" s="26">
        <f>H111/O111</f>
        <v>1.0239504912594104</v>
      </c>
      <c r="R111" s="26">
        <f>(H111-N111)/(P111-N111)</f>
        <v>0.56108984873336976</v>
      </c>
      <c r="S111" s="23" t="str">
        <f>IF(H111 &lt; N111, "Below Market", IF(H111 &gt; P111, "Above Market", "At Market"))</f>
        <v>At Market</v>
      </c>
      <c r="T111" s="22" t="str">
        <f>B111 &amp; "-" &amp; D111</f>
        <v>Financial Analyst-3</v>
      </c>
      <c r="U111" s="41">
        <f>AVERAGEIFS(H:H, K:K, "Female", B:B, B111, D:D, D111)</f>
        <v>76962.636363636368</v>
      </c>
      <c r="V111" s="41">
        <f>AVERAGEIFS(H:H, K:K, "Male", B:B, B111, D:D, D111)</f>
        <v>77416</v>
      </c>
      <c r="W111" s="27">
        <f>(V111-U111)/V111</f>
        <v>5.8562007383955823E-3</v>
      </c>
      <c r="X111" s="23" t="str">
        <f>IF(ABS(W111) &gt;= 0.1, "High Risk",
 IF(ABS(W111) &gt;= 0.05, "Moderate Risk",
 "Low Risk"))</f>
        <v>Low Risk</v>
      </c>
      <c r="Y111" t="str">
        <f>IF(J111&gt;=3,"Yes","No")</f>
        <v>No</v>
      </c>
      <c r="Z111">
        <f>IF(TRIM(S111)="Below Market",1,
 IF(TRIM(S111)="At Market",2,
 IF(TRIM(S111)="Above Market",3,0)))</f>
        <v>2</v>
      </c>
      <c r="AA111" s="26" cm="1">
        <f t="array" ref="AA111">IF($Y111&lt;&gt;"Yes",0,INDEX(Merit_Matrix!$B$2:$D$4,MATCH($J111,Merit_Matrix!$A$2:$A$4,0),Z111))</f>
        <v>0</v>
      </c>
      <c r="AB111" s="41">
        <f>H111*AA111</f>
        <v>0</v>
      </c>
      <c r="AC111" s="41">
        <f>H111+AB111</f>
        <v>80247</v>
      </c>
      <c r="AD111" s="26">
        <f>AC111/O111</f>
        <v>1.0239504912594104</v>
      </c>
      <c r="AE11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12" spans="1:31" x14ac:dyDescent="0.3">
      <c r="A112">
        <v>1109</v>
      </c>
      <c r="B112" t="s">
        <v>20</v>
      </c>
      <c r="C112" t="s">
        <v>13</v>
      </c>
      <c r="D112">
        <v>3</v>
      </c>
      <c r="E112" t="s">
        <v>21</v>
      </c>
      <c r="F112" t="s">
        <v>13</v>
      </c>
      <c r="G112" t="s">
        <v>15</v>
      </c>
      <c r="H112" s="41">
        <v>82761</v>
      </c>
      <c r="I112" t="b">
        <v>1</v>
      </c>
      <c r="J112">
        <v>3</v>
      </c>
      <c r="K112" t="s">
        <v>16</v>
      </c>
      <c r="L112" s="1">
        <v>42734</v>
      </c>
      <c r="M112">
        <v>11</v>
      </c>
      <c r="N112" s="42">
        <f>VLOOKUP(B112,Market_Salary_Benchmarks!$A$1:$G$11,5,FALSE)</f>
        <v>52500</v>
      </c>
      <c r="O112" s="42">
        <f>VLOOKUP(B112,Market_Salary_Benchmarks!$A$1:$G$11,6,FALSE)</f>
        <v>67210</v>
      </c>
      <c r="P112" s="42">
        <f>VLOOKUP(B112,Market_Salary_Benchmarks!$A$1:$G$11,7,FALSE)</f>
        <v>83970</v>
      </c>
      <c r="Q112" s="26">
        <f>H112/O112</f>
        <v>1.2313792590388335</v>
      </c>
      <c r="R112" s="26">
        <f>(H112-N112)/(P112-N112)</f>
        <v>0.96158245948522403</v>
      </c>
      <c r="S112" s="23" t="str">
        <f>IF(H112 &lt; N112, "Below Market", IF(H112 &gt; P112, "Above Market", "At Market"))</f>
        <v>At Market</v>
      </c>
      <c r="T112" s="22" t="str">
        <f>B112 &amp; "-" &amp; D112</f>
        <v>Operations Supervisor-3</v>
      </c>
      <c r="U112" s="41">
        <f>AVERAGEIFS(H:H, K:K, "Female", B:B, B112, D:D, D112)</f>
        <v>79072.21428571429</v>
      </c>
      <c r="V112" s="41">
        <f>AVERAGEIFS(H:H, K:K, "Male", B:B, B112, D:D, D112)</f>
        <v>76780.28571428571</v>
      </c>
      <c r="W112" s="27">
        <f>(V112-U112)/V112</f>
        <v>-2.9850482452713045E-2</v>
      </c>
      <c r="X112" s="23" t="str">
        <f>IF(ABS(W112) &gt;= 0.1, "High Risk",
 IF(ABS(W112) &gt;= 0.05, "Moderate Risk",
 "Low Risk"))</f>
        <v>Low Risk</v>
      </c>
      <c r="Y112" t="str">
        <f>IF(J112&gt;=3,"Yes","No")</f>
        <v>Yes</v>
      </c>
      <c r="Z112">
        <f>IF(TRIM(S112)="Below Market",1,
 IF(TRIM(S112)="At Market",2,
 IF(TRIM(S112)="Above Market",3,0)))</f>
        <v>2</v>
      </c>
      <c r="AA112" s="26" cm="1">
        <f t="array" ref="AA112">IF($Y112&lt;&gt;"Yes",0,INDEX(Merit_Matrix!$B$2:$D$4,MATCH($J112,Merit_Matrix!$A$2:$A$4,0),Z112))</f>
        <v>0.03</v>
      </c>
      <c r="AB112" s="41">
        <f>H112*AA112</f>
        <v>2482.83</v>
      </c>
      <c r="AC112" s="41">
        <f>H112+AB112</f>
        <v>85243.83</v>
      </c>
      <c r="AD112" s="26">
        <f>AC112/O112</f>
        <v>1.2683206368099986</v>
      </c>
      <c r="AE112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13" spans="1:31" x14ac:dyDescent="0.3">
      <c r="A113">
        <v>1110</v>
      </c>
      <c r="B113" t="s">
        <v>17</v>
      </c>
      <c r="C113" t="s">
        <v>18</v>
      </c>
      <c r="D113">
        <v>2</v>
      </c>
      <c r="E113" t="s">
        <v>14</v>
      </c>
      <c r="F113" t="s">
        <v>18</v>
      </c>
      <c r="G113" t="s">
        <v>15</v>
      </c>
      <c r="H113" s="41">
        <v>63170</v>
      </c>
      <c r="I113" t="b">
        <v>0</v>
      </c>
      <c r="J113">
        <v>4</v>
      </c>
      <c r="K113" t="s">
        <v>16</v>
      </c>
      <c r="L113" s="1">
        <v>44780</v>
      </c>
      <c r="M113">
        <v>13</v>
      </c>
      <c r="N113" s="42">
        <f>VLOOKUP(B113,Market_Salary_Benchmarks!$A$1:$G$11,5,FALSE)</f>
        <v>81130</v>
      </c>
      <c r="O113" s="42">
        <f>VLOOKUP(B113,Market_Salary_Benchmarks!$A$1:$G$11,6,FALSE)</f>
        <v>103730</v>
      </c>
      <c r="P113" s="42">
        <f>VLOOKUP(B113,Market_Salary_Benchmarks!$A$1:$G$11,7,FALSE)</f>
        <v>132670</v>
      </c>
      <c r="Q113" s="26">
        <f>H113/O113</f>
        <v>0.6089848645522028</v>
      </c>
      <c r="R113" s="26">
        <f>(H113-N113)/(P113-N113)</f>
        <v>-0.3484672099340318</v>
      </c>
      <c r="S113" s="23" t="str">
        <f>IF(H113 &lt; N113, "Below Market", IF(H113 &gt; P113, "Above Market", "At Market"))</f>
        <v>Below Market</v>
      </c>
      <c r="T113" s="22" t="str">
        <f>B113 &amp; "-" &amp; D113</f>
        <v>IT Analyst-2</v>
      </c>
      <c r="U113" s="41">
        <f>AVERAGEIFS(H:H, K:K, "Female", B:B, B113, D:D, D113)</f>
        <v>55600.230769230766</v>
      </c>
      <c r="V113" s="41">
        <f>AVERAGEIFS(H:H, K:K, "Male", B:B, B113, D:D, D113)</f>
        <v>58468.727272727272</v>
      </c>
      <c r="W113" s="27">
        <f>(V113-U113)/V113</f>
        <v>4.9060354779340579E-2</v>
      </c>
      <c r="X113" s="23" t="str">
        <f>IF(ABS(W113) &gt;= 0.1, "High Risk",
 IF(ABS(W113) &gt;= 0.05, "Moderate Risk",
 "Low Risk"))</f>
        <v>Low Risk</v>
      </c>
      <c r="Y113" t="str">
        <f>IF(J113&gt;=3,"Yes","No")</f>
        <v>Yes</v>
      </c>
      <c r="Z113">
        <f>IF(TRIM(S113)="Below Market",1,
 IF(TRIM(S113)="At Market",2,
 IF(TRIM(S113)="Above Market",3,0)))</f>
        <v>1</v>
      </c>
      <c r="AA113" s="26" cm="1">
        <f t="array" ref="AA113">IF($Y113&lt;&gt;"Yes",0,INDEX(Merit_Matrix!$B$2:$D$4,MATCH($J113,Merit_Matrix!$A$2:$A$4,0),Z113))</f>
        <v>0.05</v>
      </c>
      <c r="AB113" s="41">
        <f>H113*AA113</f>
        <v>3158.5</v>
      </c>
      <c r="AC113" s="41">
        <f>H113+AB113</f>
        <v>66328.5</v>
      </c>
      <c r="AD113" s="26">
        <f>AC113/O113</f>
        <v>0.63943410777981302</v>
      </c>
      <c r="AE11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14" spans="1:31" x14ac:dyDescent="0.3">
      <c r="A114">
        <v>1111</v>
      </c>
      <c r="B114" t="s">
        <v>28</v>
      </c>
      <c r="C114" t="s">
        <v>24</v>
      </c>
      <c r="D114">
        <v>3</v>
      </c>
      <c r="E114" t="s">
        <v>14</v>
      </c>
      <c r="F114" t="s">
        <v>24</v>
      </c>
      <c r="G114" t="s">
        <v>15</v>
      </c>
      <c r="H114" s="41">
        <v>76949</v>
      </c>
      <c r="I114" t="b">
        <v>1</v>
      </c>
      <c r="J114">
        <v>3</v>
      </c>
      <c r="K114" t="s">
        <v>16</v>
      </c>
      <c r="L114" s="1">
        <v>44024</v>
      </c>
      <c r="M114">
        <v>6</v>
      </c>
      <c r="N114" s="42">
        <f>VLOOKUP(B114,Market_Salary_Benchmarks!$A$1:$G$11,5,FALSE)</f>
        <v>50970</v>
      </c>
      <c r="O114" s="42">
        <f>VLOOKUP(B114,Market_Salary_Benchmarks!$A$1:$G$11,6,FALSE)</f>
        <v>56720</v>
      </c>
      <c r="P114" s="42">
        <f>VLOOKUP(B114,Market_Salary_Benchmarks!$A$1:$G$11,7,FALSE)</f>
        <v>75360</v>
      </c>
      <c r="Q114" s="26">
        <f>H114/O114</f>
        <v>1.3566466854724966</v>
      </c>
      <c r="R114" s="26">
        <f>(H114-N114)/(P114-N114)</f>
        <v>1.0651496514965149</v>
      </c>
      <c r="S114" s="23" t="str">
        <f>IF(H114 &lt; N114, "Below Market", IF(H114 &gt; P114, "Above Market", "At Market"))</f>
        <v>Above Market</v>
      </c>
      <c r="T114" s="22" t="str">
        <f>B114 &amp; "-" &amp; D114</f>
        <v>Compensation Analyst-3</v>
      </c>
      <c r="U114" s="41">
        <f>AVERAGEIFS(H:H, K:K, "Female", B:B, B114, D:D, D114)</f>
        <v>76621.166666666672</v>
      </c>
      <c r="V114" s="41">
        <f>AVERAGEIFS(H:H, K:K, "Male", B:B, B114, D:D, D114)</f>
        <v>77763.875</v>
      </c>
      <c r="W114" s="27">
        <f>(V114-U114)/V114</f>
        <v>1.4694590943845436E-2</v>
      </c>
      <c r="X114" s="23" t="str">
        <f>IF(ABS(W114) &gt;= 0.1, "High Risk",
 IF(ABS(W114) &gt;= 0.05, "Moderate Risk",
 "Low Risk"))</f>
        <v>Low Risk</v>
      </c>
      <c r="Y114" t="str">
        <f>IF(J114&gt;=3,"Yes","No")</f>
        <v>Yes</v>
      </c>
      <c r="Z114">
        <f>IF(TRIM(S114)="Below Market",1,
 IF(TRIM(S114)="At Market",2,
 IF(TRIM(S114)="Above Market",3,0)))</f>
        <v>3</v>
      </c>
      <c r="AA114" s="26" cm="1">
        <f t="array" ref="AA114">IF($Y114&lt;&gt;"Yes",0,INDEX(Merit_Matrix!$B$2:$D$4,MATCH($J114,Merit_Matrix!$A$2:$A$4,0),Z114))</f>
        <v>0.02</v>
      </c>
      <c r="AB114" s="41">
        <f>H114*AA114</f>
        <v>1538.98</v>
      </c>
      <c r="AC114" s="41">
        <f>H114+AB114</f>
        <v>78487.98</v>
      </c>
      <c r="AD114" s="26">
        <f>AC114/O114</f>
        <v>1.3837796191819463</v>
      </c>
      <c r="AE114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15" spans="1:31" x14ac:dyDescent="0.3">
      <c r="A115">
        <v>1112</v>
      </c>
      <c r="B115" t="s">
        <v>23</v>
      </c>
      <c r="C115" t="s">
        <v>24</v>
      </c>
      <c r="D115">
        <v>4</v>
      </c>
      <c r="E115" t="s">
        <v>14</v>
      </c>
      <c r="F115" t="s">
        <v>24</v>
      </c>
      <c r="G115" t="s">
        <v>15</v>
      </c>
      <c r="H115" s="41">
        <v>94229</v>
      </c>
      <c r="I115" t="b">
        <v>1</v>
      </c>
      <c r="J115">
        <v>3</v>
      </c>
      <c r="K115" t="s">
        <v>16</v>
      </c>
      <c r="L115" s="1">
        <v>42906</v>
      </c>
      <c r="M115">
        <v>2</v>
      </c>
      <c r="N115" s="42">
        <f>VLOOKUP(B115,Market_Salary_Benchmarks!$A$1:$G$11,5,FALSE)</f>
        <v>82620</v>
      </c>
      <c r="O115" s="42">
        <f>VLOOKUP(B115,Market_Salary_Benchmarks!$A$1:$G$11,6,FALSE)</f>
        <v>110030</v>
      </c>
      <c r="P115" s="42">
        <f>VLOOKUP(B115,Market_Salary_Benchmarks!$A$1:$G$11,7,FALSE)</f>
        <v>146810</v>
      </c>
      <c r="Q115" s="26">
        <f>H115/O115</f>
        <v>0.85639371080614379</v>
      </c>
      <c r="R115" s="26">
        <f>(H115-N115)/(P115-N115)</f>
        <v>0.18085371553201432</v>
      </c>
      <c r="S115" s="23" t="str">
        <f>IF(H115 &lt; N115, "Below Market", IF(H115 &gt; P115, "Above Market", "At Market"))</f>
        <v>At Market</v>
      </c>
      <c r="T115" s="22" t="str">
        <f>B115 &amp; "-" &amp; D115</f>
        <v>HR Manager-4</v>
      </c>
      <c r="U115" s="41">
        <f>AVERAGEIFS(H:H, K:K, "Female", B:B, B115, D:D, D115)</f>
        <v>97910.769230769234</v>
      </c>
      <c r="V115" s="41">
        <f>AVERAGEIFS(H:H, K:K, "Male", B:B, B115, D:D, D115)</f>
        <v>96300.666666666672</v>
      </c>
      <c r="W115" s="27">
        <f>(V115-U115)/V115</f>
        <v>-1.6719537048229805E-2</v>
      </c>
      <c r="X115" s="23" t="str">
        <f>IF(ABS(W115) &gt;= 0.1, "High Risk",
 IF(ABS(W115) &gt;= 0.05, "Moderate Risk",
 "Low Risk"))</f>
        <v>Low Risk</v>
      </c>
      <c r="Y115" t="str">
        <f>IF(J115&gt;=3,"Yes","No")</f>
        <v>Yes</v>
      </c>
      <c r="Z115">
        <f>IF(TRIM(S115)="Below Market",1,
 IF(TRIM(S115)="At Market",2,
 IF(TRIM(S115)="Above Market",3,0)))</f>
        <v>2</v>
      </c>
      <c r="AA115" s="26" cm="1">
        <f t="array" ref="AA115">IF($Y115&lt;&gt;"Yes",0,INDEX(Merit_Matrix!$B$2:$D$4,MATCH($J115,Merit_Matrix!$A$2:$A$4,0),Z115))</f>
        <v>0.03</v>
      </c>
      <c r="AB115" s="41">
        <f>H115*AA115</f>
        <v>2826.87</v>
      </c>
      <c r="AC115" s="41">
        <f>H115+AB115</f>
        <v>97055.87</v>
      </c>
      <c r="AD115" s="26">
        <f>AC115/O115</f>
        <v>0.88208552213032809</v>
      </c>
      <c r="AE11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16" spans="1:31" x14ac:dyDescent="0.3">
      <c r="A116">
        <v>1113</v>
      </c>
      <c r="B116" t="s">
        <v>25</v>
      </c>
      <c r="C116" t="s">
        <v>26</v>
      </c>
      <c r="D116">
        <v>3</v>
      </c>
      <c r="E116" t="s">
        <v>14</v>
      </c>
      <c r="F116" t="s">
        <v>26</v>
      </c>
      <c r="G116" t="s">
        <v>15</v>
      </c>
      <c r="H116" s="41">
        <v>79795</v>
      </c>
      <c r="I116" t="b">
        <v>1</v>
      </c>
      <c r="J116">
        <v>4</v>
      </c>
      <c r="K116" t="s">
        <v>19</v>
      </c>
      <c r="L116" s="1">
        <v>43539</v>
      </c>
      <c r="M116">
        <v>5</v>
      </c>
      <c r="N116" s="42">
        <f>VLOOKUP(B116,Market_Salary_Benchmarks!$A$1:$G$11,5,FALSE)</f>
        <v>49460</v>
      </c>
      <c r="O116" s="42">
        <f>VLOOKUP(B116,Market_Salary_Benchmarks!$A$1:$G$11,6,FALSE)</f>
        <v>78370</v>
      </c>
      <c r="P116" s="42">
        <f>VLOOKUP(B116,Market_Salary_Benchmarks!$A$1:$G$11,7,FALSE)</f>
        <v>104330</v>
      </c>
      <c r="Q116" s="26">
        <f>H116/O116</f>
        <v>1.0181829781804261</v>
      </c>
      <c r="R116" s="26">
        <f>(H116-N116)/(P116-N116)</f>
        <v>0.55285219609987246</v>
      </c>
      <c r="S116" s="23" t="str">
        <f>IF(H116 &lt; N116, "Below Market", IF(H116 &gt; P116, "Above Market", "At Market"))</f>
        <v>At Market</v>
      </c>
      <c r="T116" s="22" t="str">
        <f>B116 &amp; "-" &amp; D116</f>
        <v>Financial Analyst-3</v>
      </c>
      <c r="U116" s="41">
        <f>AVERAGEIFS(H:H, K:K, "Female", B:B, B116, D:D, D116)</f>
        <v>76962.636363636368</v>
      </c>
      <c r="V116" s="41">
        <f>AVERAGEIFS(H:H, K:K, "Male", B:B, B116, D:D, D116)</f>
        <v>77416</v>
      </c>
      <c r="W116" s="27">
        <f>(V116-U116)/V116</f>
        <v>5.8562007383955823E-3</v>
      </c>
      <c r="X116" s="23" t="str">
        <f>IF(ABS(W116) &gt;= 0.1, "High Risk",
 IF(ABS(W116) &gt;= 0.05, "Moderate Risk",
 "Low Risk"))</f>
        <v>Low Risk</v>
      </c>
      <c r="Y116" t="str">
        <f>IF(J116&gt;=3,"Yes","No")</f>
        <v>Yes</v>
      </c>
      <c r="Z116">
        <f>IF(TRIM(S116)="Below Market",1,
 IF(TRIM(S116)="At Market",2,
 IF(TRIM(S116)="Above Market",3,0)))</f>
        <v>2</v>
      </c>
      <c r="AA116" s="26" cm="1">
        <f t="array" ref="AA116">IF($Y116&lt;&gt;"Yes",0,INDEX(Merit_Matrix!$B$2:$D$4,MATCH($J116,Merit_Matrix!$A$2:$A$4,0),Z116))</f>
        <v>0.04</v>
      </c>
      <c r="AB116" s="41">
        <f>H116*AA116</f>
        <v>3191.8</v>
      </c>
      <c r="AC116" s="41">
        <f>H116+AB116</f>
        <v>82986.8</v>
      </c>
      <c r="AD116" s="26">
        <f>AC116/O116</f>
        <v>1.0589102973076432</v>
      </c>
      <c r="AE11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17" spans="1:31" x14ac:dyDescent="0.3">
      <c r="A117">
        <v>1114</v>
      </c>
      <c r="B117" t="s">
        <v>20</v>
      </c>
      <c r="C117" t="s">
        <v>13</v>
      </c>
      <c r="D117">
        <v>3</v>
      </c>
      <c r="E117" t="s">
        <v>21</v>
      </c>
      <c r="F117" t="s">
        <v>13</v>
      </c>
      <c r="G117" t="s">
        <v>15</v>
      </c>
      <c r="H117" s="41">
        <v>82910</v>
      </c>
      <c r="I117" t="b">
        <v>1</v>
      </c>
      <c r="J117">
        <v>3</v>
      </c>
      <c r="K117" t="s">
        <v>16</v>
      </c>
      <c r="L117" s="1">
        <v>45012</v>
      </c>
      <c r="M117">
        <v>11</v>
      </c>
      <c r="N117" s="42">
        <f>VLOOKUP(B117,Market_Salary_Benchmarks!$A$1:$G$11,5,FALSE)</f>
        <v>52500</v>
      </c>
      <c r="O117" s="42">
        <f>VLOOKUP(B117,Market_Salary_Benchmarks!$A$1:$G$11,6,FALSE)</f>
        <v>67210</v>
      </c>
      <c r="P117" s="42">
        <f>VLOOKUP(B117,Market_Salary_Benchmarks!$A$1:$G$11,7,FALSE)</f>
        <v>83970</v>
      </c>
      <c r="Q117" s="26">
        <f>H117/O117</f>
        <v>1.2335961910429996</v>
      </c>
      <c r="R117" s="26">
        <f>(H117-N117)/(P117-N117)</f>
        <v>0.96631712742294251</v>
      </c>
      <c r="S117" s="23" t="str">
        <f>IF(H117 &lt; N117, "Below Market", IF(H117 &gt; P117, "Above Market", "At Market"))</f>
        <v>At Market</v>
      </c>
      <c r="T117" s="22" t="str">
        <f>B117 &amp; "-" &amp; D117</f>
        <v>Operations Supervisor-3</v>
      </c>
      <c r="U117" s="41">
        <f>AVERAGEIFS(H:H, K:K, "Female", B:B, B117, D:D, D117)</f>
        <v>79072.21428571429</v>
      </c>
      <c r="V117" s="41">
        <f>AVERAGEIFS(H:H, K:K, "Male", B:B, B117, D:D, D117)</f>
        <v>76780.28571428571</v>
      </c>
      <c r="W117" s="27">
        <f>(V117-U117)/V117</f>
        <v>-2.9850482452713045E-2</v>
      </c>
      <c r="X117" s="23" t="str">
        <f>IF(ABS(W117) &gt;= 0.1, "High Risk",
 IF(ABS(W117) &gt;= 0.05, "Moderate Risk",
 "Low Risk"))</f>
        <v>Low Risk</v>
      </c>
      <c r="Y117" t="str">
        <f>IF(J117&gt;=3,"Yes","No")</f>
        <v>Yes</v>
      </c>
      <c r="Z117">
        <f>IF(TRIM(S117)="Below Market",1,
 IF(TRIM(S117)="At Market",2,
 IF(TRIM(S117)="Above Market",3,0)))</f>
        <v>2</v>
      </c>
      <c r="AA117" s="26" cm="1">
        <f t="array" ref="AA117">IF($Y117&lt;&gt;"Yes",0,INDEX(Merit_Matrix!$B$2:$D$4,MATCH($J117,Merit_Matrix!$A$2:$A$4,0),Z117))</f>
        <v>0.03</v>
      </c>
      <c r="AB117" s="41">
        <f>H117*AA117</f>
        <v>2487.2999999999997</v>
      </c>
      <c r="AC117" s="41">
        <f>H117+AB117</f>
        <v>85397.3</v>
      </c>
      <c r="AD117" s="26">
        <f>AC117/O117</f>
        <v>1.2706040767742897</v>
      </c>
      <c r="AE117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18" spans="1:31" x14ac:dyDescent="0.3">
      <c r="A118">
        <v>1115</v>
      </c>
      <c r="B118" t="s">
        <v>22</v>
      </c>
      <c r="C118" t="s">
        <v>18</v>
      </c>
      <c r="D118">
        <v>3</v>
      </c>
      <c r="E118" t="s">
        <v>14</v>
      </c>
      <c r="F118" t="s">
        <v>18</v>
      </c>
      <c r="G118" t="s">
        <v>15</v>
      </c>
      <c r="H118" s="41">
        <v>83829</v>
      </c>
      <c r="I118" t="b">
        <v>1</v>
      </c>
      <c r="J118">
        <v>3</v>
      </c>
      <c r="K118" t="s">
        <v>16</v>
      </c>
      <c r="L118" s="1">
        <v>44732</v>
      </c>
      <c r="M118">
        <v>14</v>
      </c>
      <c r="N118" s="42">
        <f>VLOOKUP(B118,Market_Salary_Benchmarks!$A$1:$G$11,5,FALSE)</f>
        <v>103040</v>
      </c>
      <c r="O118" s="42">
        <f>VLOOKUP(B118,Market_Salary_Benchmarks!$A$1:$G$11,6,FALSE)</f>
        <v>133500</v>
      </c>
      <c r="P118" s="42">
        <f>VLOOKUP(B118,Market_Salary_Benchmarks!$A$1:$G$11,7,FALSE)</f>
        <v>171680</v>
      </c>
      <c r="Q118" s="26">
        <f>H118/O118</f>
        <v>0.62793258426966292</v>
      </c>
      <c r="R118" s="26">
        <f>(H118-N118)/(P118-N118)</f>
        <v>-0.27988053613053615</v>
      </c>
      <c r="S118" s="23" t="str">
        <f>IF(H118 &lt; N118, "Below Market", IF(H118 &gt; P118, "Above Market", "At Market"))</f>
        <v>Below Market</v>
      </c>
      <c r="T118" s="22" t="str">
        <f>B118 &amp; "-" &amp; D118</f>
        <v>Senior IT Analyst-3</v>
      </c>
      <c r="U118" s="41">
        <f>AVERAGEIFS(H:H, K:K, "Female", B:B, B118, D:D, D118)</f>
        <v>78401.571428571435</v>
      </c>
      <c r="V118" s="41">
        <f>AVERAGEIFS(H:H, K:K, "Male", B:B, B118, D:D, D118)</f>
        <v>75875.125</v>
      </c>
      <c r="W118" s="27">
        <f>(V118-U118)/V118</f>
        <v>-3.3297426904686282E-2</v>
      </c>
      <c r="X118" s="23" t="str">
        <f>IF(ABS(W118) &gt;= 0.1, "High Risk",
 IF(ABS(W118) &gt;= 0.05, "Moderate Risk",
 "Low Risk"))</f>
        <v>Low Risk</v>
      </c>
      <c r="Y118" t="str">
        <f>IF(J118&gt;=3,"Yes","No")</f>
        <v>Yes</v>
      </c>
      <c r="Z118">
        <f>IF(TRIM(S118)="Below Market",1,
 IF(TRIM(S118)="At Market",2,
 IF(TRIM(S118)="Above Market",3,0)))</f>
        <v>1</v>
      </c>
      <c r="AA118" s="26" cm="1">
        <f t="array" ref="AA118">IF($Y118&lt;&gt;"Yes",0,INDEX(Merit_Matrix!$B$2:$D$4,MATCH($J118,Merit_Matrix!$A$2:$A$4,0),Z118))</f>
        <v>3.5000000000000003E-2</v>
      </c>
      <c r="AB118" s="41">
        <f>H118*AA118</f>
        <v>2934.0150000000003</v>
      </c>
      <c r="AC118" s="41">
        <f>H118+AB118</f>
        <v>86763.014999999999</v>
      </c>
      <c r="AD118" s="26">
        <f>AC118/O118</f>
        <v>0.64991022471910109</v>
      </c>
      <c r="AE118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19" spans="1:31" x14ac:dyDescent="0.3">
      <c r="A119">
        <v>1116</v>
      </c>
      <c r="B119" t="s">
        <v>20</v>
      </c>
      <c r="C119" t="s">
        <v>13</v>
      </c>
      <c r="D119">
        <v>3</v>
      </c>
      <c r="E119" t="s">
        <v>21</v>
      </c>
      <c r="F119" t="s">
        <v>13</v>
      </c>
      <c r="G119" t="s">
        <v>15</v>
      </c>
      <c r="H119" s="41">
        <v>81640</v>
      </c>
      <c r="I119" t="b">
        <v>1</v>
      </c>
      <c r="J119">
        <v>3</v>
      </c>
      <c r="K119" t="s">
        <v>16</v>
      </c>
      <c r="L119" s="1">
        <v>45260</v>
      </c>
      <c r="M119">
        <v>9</v>
      </c>
      <c r="N119" s="42">
        <f>VLOOKUP(B119,Market_Salary_Benchmarks!$A$1:$G$11,5,FALSE)</f>
        <v>52500</v>
      </c>
      <c r="O119" s="42">
        <f>VLOOKUP(B119,Market_Salary_Benchmarks!$A$1:$G$11,6,FALSE)</f>
        <v>67210</v>
      </c>
      <c r="P119" s="42">
        <f>VLOOKUP(B119,Market_Salary_Benchmarks!$A$1:$G$11,7,FALSE)</f>
        <v>83970</v>
      </c>
      <c r="Q119" s="26">
        <f>H119/O119</f>
        <v>1.2147001934235977</v>
      </c>
      <c r="R119" s="26">
        <f>(H119-N119)/(P119-N119)</f>
        <v>0.92596123292024146</v>
      </c>
      <c r="S119" s="23" t="str">
        <f>IF(H119 &lt; N119, "Below Market", IF(H119 &gt; P119, "Above Market", "At Market"))</f>
        <v>At Market</v>
      </c>
      <c r="T119" s="22" t="str">
        <f>B119 &amp; "-" &amp; D119</f>
        <v>Operations Supervisor-3</v>
      </c>
      <c r="U119" s="41">
        <f>AVERAGEIFS(H:H, K:K, "Female", B:B, B119, D:D, D119)</f>
        <v>79072.21428571429</v>
      </c>
      <c r="V119" s="41">
        <f>AVERAGEIFS(H:H, K:K, "Male", B:B, B119, D:D, D119)</f>
        <v>76780.28571428571</v>
      </c>
      <c r="W119" s="27">
        <f>(V119-U119)/V119</f>
        <v>-2.9850482452713045E-2</v>
      </c>
      <c r="X119" s="23" t="str">
        <f>IF(ABS(W119) &gt;= 0.1, "High Risk",
 IF(ABS(W119) &gt;= 0.05, "Moderate Risk",
 "Low Risk"))</f>
        <v>Low Risk</v>
      </c>
      <c r="Y119" t="str">
        <f>IF(J119&gt;=3,"Yes","No")</f>
        <v>Yes</v>
      </c>
      <c r="Z119">
        <f>IF(TRIM(S119)="Below Market",1,
 IF(TRIM(S119)="At Market",2,
 IF(TRIM(S119)="Above Market",3,0)))</f>
        <v>2</v>
      </c>
      <c r="AA119" s="26" cm="1">
        <f t="array" ref="AA119">IF($Y119&lt;&gt;"Yes",0,INDEX(Merit_Matrix!$B$2:$D$4,MATCH($J119,Merit_Matrix!$A$2:$A$4,0),Z119))</f>
        <v>0.03</v>
      </c>
      <c r="AB119" s="41">
        <f>H119*AA119</f>
        <v>2449.1999999999998</v>
      </c>
      <c r="AC119" s="41">
        <f>H119+AB119</f>
        <v>84089.2</v>
      </c>
      <c r="AD119" s="26">
        <f>AC119/O119</f>
        <v>1.2511411992263055</v>
      </c>
      <c r="AE119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20" spans="1:31" x14ac:dyDescent="0.3">
      <c r="A120">
        <v>1117</v>
      </c>
      <c r="B120" t="s">
        <v>12</v>
      </c>
      <c r="C120" t="s">
        <v>13</v>
      </c>
      <c r="D120">
        <v>4</v>
      </c>
      <c r="E120" t="s">
        <v>14</v>
      </c>
      <c r="F120" t="s">
        <v>13</v>
      </c>
      <c r="G120" t="s">
        <v>15</v>
      </c>
      <c r="H120" s="41">
        <v>90590</v>
      </c>
      <c r="I120" t="b">
        <v>1</v>
      </c>
      <c r="J120">
        <v>3</v>
      </c>
      <c r="K120" t="s">
        <v>16</v>
      </c>
      <c r="L120" s="1">
        <v>43289</v>
      </c>
      <c r="M120">
        <v>7</v>
      </c>
      <c r="N120" s="42">
        <f>VLOOKUP(B120,Market_Salary_Benchmarks!$A$1:$G$11,5,FALSE)</f>
        <v>74720</v>
      </c>
      <c r="O120" s="42">
        <f>VLOOKUP(B120,Market_Salary_Benchmarks!$A$1:$G$11,6,FALSE)</f>
        <v>106330</v>
      </c>
      <c r="P120" s="42">
        <f>VLOOKUP(B120,Market_Salary_Benchmarks!$A$1:$G$11,7,FALSE)</f>
        <v>162780</v>
      </c>
      <c r="Q120" s="26">
        <f>H120/O120</f>
        <v>0.85197028120003759</v>
      </c>
      <c r="R120" s="26">
        <f>(H120-N120)/(P120-N120)</f>
        <v>0.18021803315920962</v>
      </c>
      <c r="S120" s="23" t="str">
        <f>IF(H120 &lt; N120, "Below Market", IF(H120 &gt; P120, "Above Market", "At Market"))</f>
        <v>At Market</v>
      </c>
      <c r="T120" s="22" t="str">
        <f>B120 &amp; "-" &amp; D120</f>
        <v>Operations Manager-4</v>
      </c>
      <c r="U120" s="41">
        <f>AVERAGEIFS(H:H, K:K, "Female", B:B, B120, D:D, D120)</f>
        <v>96094.111111111109</v>
      </c>
      <c r="V120" s="41">
        <f>AVERAGEIFS(H:H, K:K, "Male", B:B, B120, D:D, D120)</f>
        <v>95248.28571428571</v>
      </c>
      <c r="W120" s="27">
        <f>(V120-U120)/V120</f>
        <v>-8.8802164835029597E-3</v>
      </c>
      <c r="X120" s="23" t="str">
        <f>IF(ABS(W120) &gt;= 0.1, "High Risk",
 IF(ABS(W120) &gt;= 0.05, "Moderate Risk",
 "Low Risk"))</f>
        <v>Low Risk</v>
      </c>
      <c r="Y120" t="str">
        <f>IF(J120&gt;=3,"Yes","No")</f>
        <v>Yes</v>
      </c>
      <c r="Z120">
        <f>IF(TRIM(S120)="Below Market",1,
 IF(TRIM(S120)="At Market",2,
 IF(TRIM(S120)="Above Market",3,0)))</f>
        <v>2</v>
      </c>
      <c r="AA120" s="26" cm="1">
        <f t="array" ref="AA120">IF($Y120&lt;&gt;"Yes",0,INDEX(Merit_Matrix!$B$2:$D$4,MATCH($J120,Merit_Matrix!$A$2:$A$4,0),Z120))</f>
        <v>0.03</v>
      </c>
      <c r="AB120" s="41">
        <f>H120*AA120</f>
        <v>2717.7</v>
      </c>
      <c r="AC120" s="41">
        <f>H120+AB120</f>
        <v>93307.7</v>
      </c>
      <c r="AD120" s="26">
        <f>AC120/O120</f>
        <v>0.87752938963603877</v>
      </c>
      <c r="AE12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21" spans="1:31" x14ac:dyDescent="0.3">
      <c r="A121">
        <v>1118</v>
      </c>
      <c r="B121" t="s">
        <v>28</v>
      </c>
      <c r="C121" t="s">
        <v>24</v>
      </c>
      <c r="D121">
        <v>3</v>
      </c>
      <c r="E121" t="s">
        <v>14</v>
      </c>
      <c r="F121" t="s">
        <v>24</v>
      </c>
      <c r="G121" t="s">
        <v>15</v>
      </c>
      <c r="H121" s="41">
        <v>84043</v>
      </c>
      <c r="I121" t="b">
        <v>1</v>
      </c>
      <c r="J121">
        <v>5</v>
      </c>
      <c r="K121" t="s">
        <v>16</v>
      </c>
      <c r="L121" s="1">
        <v>44921</v>
      </c>
      <c r="M121">
        <v>7</v>
      </c>
      <c r="N121" s="42">
        <f>VLOOKUP(B121,Market_Salary_Benchmarks!$A$1:$G$11,5,FALSE)</f>
        <v>50970</v>
      </c>
      <c r="O121" s="42">
        <f>VLOOKUP(B121,Market_Salary_Benchmarks!$A$1:$G$11,6,FALSE)</f>
        <v>56720</v>
      </c>
      <c r="P121" s="42">
        <f>VLOOKUP(B121,Market_Salary_Benchmarks!$A$1:$G$11,7,FALSE)</f>
        <v>75360</v>
      </c>
      <c r="Q121" s="26">
        <f>H121/O121</f>
        <v>1.4817172073342737</v>
      </c>
      <c r="R121" s="26">
        <f>(H121-N121)/(P121-N121)</f>
        <v>1.3560065600656006</v>
      </c>
      <c r="S121" s="23" t="str">
        <f>IF(H121 &lt; N121, "Below Market", IF(H121 &gt; P121, "Above Market", "At Market"))</f>
        <v>Above Market</v>
      </c>
      <c r="T121" s="22" t="str">
        <f>B121 &amp; "-" &amp; D121</f>
        <v>Compensation Analyst-3</v>
      </c>
      <c r="U121" s="41">
        <f>AVERAGEIFS(H:H, K:K, "Female", B:B, B121, D:D, D121)</f>
        <v>76621.166666666672</v>
      </c>
      <c r="V121" s="41">
        <f>AVERAGEIFS(H:H, K:K, "Male", B:B, B121, D:D, D121)</f>
        <v>77763.875</v>
      </c>
      <c r="W121" s="27">
        <f>(V121-U121)/V121</f>
        <v>1.4694590943845436E-2</v>
      </c>
      <c r="X121" s="23" t="str">
        <f>IF(ABS(W121) &gt;= 0.1, "High Risk",
 IF(ABS(W121) &gt;= 0.05, "Moderate Risk",
 "Low Risk"))</f>
        <v>Low Risk</v>
      </c>
      <c r="Y121" t="str">
        <f>IF(J121&gt;=3,"Yes","No")</f>
        <v>Yes</v>
      </c>
      <c r="Z121">
        <f>IF(TRIM(S121)="Below Market",1,
 IF(TRIM(S121)="At Market",2,
 IF(TRIM(S121)="Above Market",3,0)))</f>
        <v>3</v>
      </c>
      <c r="AA121" s="26" cm="1">
        <f t="array" ref="AA121">IF($Y121&lt;&gt;"Yes",0,INDEX(Merit_Matrix!$B$2:$D$4,MATCH($J121,Merit_Matrix!$A$2:$A$4,0),Z121))</f>
        <v>0.04</v>
      </c>
      <c r="AB121" s="41">
        <f>H121*AA121</f>
        <v>3361.7200000000003</v>
      </c>
      <c r="AC121" s="41">
        <f>H121+AB121</f>
        <v>87404.72</v>
      </c>
      <c r="AD121" s="26">
        <f>AC121/O121</f>
        <v>1.5409858956276445</v>
      </c>
      <c r="AE121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22" spans="1:31" x14ac:dyDescent="0.3">
      <c r="A122">
        <v>1119</v>
      </c>
      <c r="B122" t="s">
        <v>30</v>
      </c>
      <c r="C122" t="s">
        <v>24</v>
      </c>
      <c r="D122">
        <v>2</v>
      </c>
      <c r="E122" t="s">
        <v>21</v>
      </c>
      <c r="F122" t="s">
        <v>24</v>
      </c>
      <c r="G122" t="s">
        <v>15</v>
      </c>
      <c r="H122" s="41">
        <v>64909</v>
      </c>
      <c r="I122" t="b">
        <v>0</v>
      </c>
      <c r="J122">
        <v>3</v>
      </c>
      <c r="K122" t="s">
        <v>16</v>
      </c>
      <c r="L122" s="1">
        <v>43828</v>
      </c>
      <c r="M122">
        <v>14</v>
      </c>
      <c r="N122" s="42">
        <f>VLOOKUP(B122,Market_Salary_Benchmarks!$A$1:$G$11,5,FALSE)</f>
        <v>37930</v>
      </c>
      <c r="O122" s="42">
        <f>VLOOKUP(B122,Market_Salary_Benchmarks!$A$1:$G$11,6,FALSE)</f>
        <v>45470</v>
      </c>
      <c r="P122" s="42">
        <f>VLOOKUP(B122,Market_Salary_Benchmarks!$A$1:$G$11,7,FALSE)</f>
        <v>54160</v>
      </c>
      <c r="Q122" s="26">
        <f>H122/O122</f>
        <v>1.4275126457004619</v>
      </c>
      <c r="R122" s="26">
        <f>(H122-N122)/(P122-N122)</f>
        <v>1.6622920517560074</v>
      </c>
      <c r="S122" s="23" t="str">
        <f>IF(H122 &lt; N122, "Below Market", IF(H122 &gt; P122, "Above Market", "At Market"))</f>
        <v>Above Market</v>
      </c>
      <c r="T122" s="22" t="str">
        <f>B122 &amp; "-" &amp; D122</f>
        <v>Payroll Specialist-2</v>
      </c>
      <c r="U122" s="41">
        <f>AVERAGEIFS(H:H, K:K, "Female", B:B, B122, D:D, D122)</f>
        <v>58334.555555555555</v>
      </c>
      <c r="V122" s="41">
        <f>AVERAGEIFS(H:H, K:K, "Male", B:B, B122, D:D, D122)</f>
        <v>56264.5</v>
      </c>
      <c r="W122" s="27">
        <f>(V122-U122)/V122</f>
        <v>-3.6791503622276123E-2</v>
      </c>
      <c r="X122" s="23" t="str">
        <f>IF(ABS(W122) &gt;= 0.1, "High Risk",
 IF(ABS(W122) &gt;= 0.05, "Moderate Risk",
 "Low Risk"))</f>
        <v>Low Risk</v>
      </c>
      <c r="Y122" t="str">
        <f>IF(J122&gt;=3,"Yes","No")</f>
        <v>Yes</v>
      </c>
      <c r="Z122">
        <f>IF(TRIM(S122)="Below Market",1,
 IF(TRIM(S122)="At Market",2,
 IF(TRIM(S122)="Above Market",3,0)))</f>
        <v>3</v>
      </c>
      <c r="AA122" s="26" cm="1">
        <f t="array" ref="AA122">IF($Y122&lt;&gt;"Yes",0,INDEX(Merit_Matrix!$B$2:$D$4,MATCH($J122,Merit_Matrix!$A$2:$A$4,0),Z122))</f>
        <v>0.02</v>
      </c>
      <c r="AB122" s="41">
        <f>H122*AA122</f>
        <v>1298.18</v>
      </c>
      <c r="AC122" s="41">
        <f>H122+AB122</f>
        <v>66207.179999999993</v>
      </c>
      <c r="AD122" s="26">
        <f>AC122/O122</f>
        <v>1.456062898614471</v>
      </c>
      <c r="AE122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23" spans="1:31" x14ac:dyDescent="0.3">
      <c r="A123">
        <v>1120</v>
      </c>
      <c r="B123" t="s">
        <v>27</v>
      </c>
      <c r="C123" t="s">
        <v>26</v>
      </c>
      <c r="D123">
        <v>4</v>
      </c>
      <c r="E123" t="s">
        <v>14</v>
      </c>
      <c r="F123" t="s">
        <v>26</v>
      </c>
      <c r="G123" t="s">
        <v>15</v>
      </c>
      <c r="H123" s="41">
        <v>97333</v>
      </c>
      <c r="I123" t="b">
        <v>1</v>
      </c>
      <c r="J123">
        <v>4</v>
      </c>
      <c r="K123" t="s">
        <v>16</v>
      </c>
      <c r="L123" s="1">
        <v>42594</v>
      </c>
      <c r="M123">
        <v>5</v>
      </c>
      <c r="N123" s="42">
        <f>VLOOKUP(B123,Market_Salary_Benchmarks!$A$1:$G$11,5,FALSE)</f>
        <v>105000</v>
      </c>
      <c r="O123" s="42">
        <f>VLOOKUP(B123,Market_Salary_Benchmarks!$A$1:$G$11,6,FALSE)</f>
        <v>138040</v>
      </c>
      <c r="P123" s="42">
        <f>VLOOKUP(B123,Market_Salary_Benchmarks!$A$1:$G$11,7,FALSE)</f>
        <v>179950</v>
      </c>
      <c r="Q123" s="26">
        <f>H123/O123</f>
        <v>0.70510721529991305</v>
      </c>
      <c r="R123" s="26">
        <f>(H123-N123)/(P123-N123)</f>
        <v>-0.10229486324216144</v>
      </c>
      <c r="S123" s="23" t="str">
        <f>IF(H123 &lt; N123, "Below Market", IF(H123 &gt; P123, "Above Market", "At Market"))</f>
        <v>Below Market</v>
      </c>
      <c r="T123" s="22" t="str">
        <f>B123 &amp; "-" &amp; D123</f>
        <v>Senior Financial Analyst-4</v>
      </c>
      <c r="U123" s="41">
        <f>AVERAGEIFS(H:H, K:K, "Female", B:B, B123, D:D, D123)</f>
        <v>94329.75</v>
      </c>
      <c r="V123" s="41">
        <f>AVERAGEIFS(H:H, K:K, "Male", B:B, B123, D:D, D123)</f>
        <v>94897.166666666672</v>
      </c>
      <c r="W123" s="27">
        <f>(V123-U123)/V123</f>
        <v>5.9792793251643075E-3</v>
      </c>
      <c r="X123" s="23" t="str">
        <f>IF(ABS(W123) &gt;= 0.1, "High Risk",
 IF(ABS(W123) &gt;= 0.05, "Moderate Risk",
 "Low Risk"))</f>
        <v>Low Risk</v>
      </c>
      <c r="Y123" t="str">
        <f>IF(J123&gt;=3,"Yes","No")</f>
        <v>Yes</v>
      </c>
      <c r="Z123">
        <f>IF(TRIM(S123)="Below Market",1,
 IF(TRIM(S123)="At Market",2,
 IF(TRIM(S123)="Above Market",3,0)))</f>
        <v>1</v>
      </c>
      <c r="AA123" s="26" cm="1">
        <f t="array" ref="AA123">IF($Y123&lt;&gt;"Yes",0,INDEX(Merit_Matrix!$B$2:$D$4,MATCH($J123,Merit_Matrix!$A$2:$A$4,0),Z123))</f>
        <v>0.05</v>
      </c>
      <c r="AB123" s="41">
        <f>H123*AA123</f>
        <v>4866.6500000000005</v>
      </c>
      <c r="AC123" s="41">
        <f>H123+AB123</f>
        <v>102199.65</v>
      </c>
      <c r="AD123" s="26">
        <f>AC123/O123</f>
        <v>0.74036257606490863</v>
      </c>
      <c r="AE12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24" spans="1:31" x14ac:dyDescent="0.3">
      <c r="A124">
        <v>1121</v>
      </c>
      <c r="B124" t="s">
        <v>29</v>
      </c>
      <c r="C124" t="s">
        <v>24</v>
      </c>
      <c r="D124">
        <v>2</v>
      </c>
      <c r="E124" t="s">
        <v>14</v>
      </c>
      <c r="F124" t="s">
        <v>24</v>
      </c>
      <c r="G124" t="s">
        <v>15</v>
      </c>
      <c r="H124" s="41">
        <v>56283</v>
      </c>
      <c r="I124" t="b">
        <v>0</v>
      </c>
      <c r="J124">
        <v>3</v>
      </c>
      <c r="K124" t="s">
        <v>16</v>
      </c>
      <c r="L124" s="1">
        <v>43943</v>
      </c>
      <c r="M124">
        <v>6</v>
      </c>
      <c r="N124" s="42">
        <f>VLOOKUP(B124,Market_Salary_Benchmarks!$A$1:$G$11,5,FALSE)</f>
        <v>48890</v>
      </c>
      <c r="O124" s="42">
        <f>VLOOKUP(B124,Market_Salary_Benchmarks!$A$1:$G$11,6,FALSE)</f>
        <v>62770</v>
      </c>
      <c r="P124" s="42">
        <f>VLOOKUP(B124,Market_Salary_Benchmarks!$A$1:$G$11,7,FALSE)</f>
        <v>82990</v>
      </c>
      <c r="Q124" s="26">
        <f>H124/O124</f>
        <v>0.89665445276405931</v>
      </c>
      <c r="R124" s="26">
        <f>(H124-N124)/(P124-N124)</f>
        <v>0.21680351906158357</v>
      </c>
      <c r="S124" s="23" t="str">
        <f>IF(H124 &lt; N124, "Below Market", IF(H124 &gt; P124, "Above Market", "At Market"))</f>
        <v>At Market</v>
      </c>
      <c r="T124" s="22" t="str">
        <f>B124 &amp; "-" &amp; D124</f>
        <v>HR Analyst-2</v>
      </c>
      <c r="U124" s="41">
        <f>AVERAGEIFS(H:H, K:K, "Female", B:B, B124, D:D, D124)</f>
        <v>56635.5</v>
      </c>
      <c r="V124" s="41">
        <f>AVERAGEIFS(H:H, K:K, "Male", B:B, B124, D:D, D124)</f>
        <v>59544.4</v>
      </c>
      <c r="W124" s="27">
        <f>(V124-U124)/V124</f>
        <v>4.8852620901377819E-2</v>
      </c>
      <c r="X124" s="23" t="str">
        <f>IF(ABS(W124) &gt;= 0.1, "High Risk",
 IF(ABS(W124) &gt;= 0.05, "Moderate Risk",
 "Low Risk"))</f>
        <v>Low Risk</v>
      </c>
      <c r="Y124" t="str">
        <f>IF(J124&gt;=3,"Yes","No")</f>
        <v>Yes</v>
      </c>
      <c r="Z124">
        <f>IF(TRIM(S124)="Below Market",1,
 IF(TRIM(S124)="At Market",2,
 IF(TRIM(S124)="Above Market",3,0)))</f>
        <v>2</v>
      </c>
      <c r="AA124" s="26" cm="1">
        <f t="array" ref="AA124">IF($Y124&lt;&gt;"Yes",0,INDEX(Merit_Matrix!$B$2:$D$4,MATCH($J124,Merit_Matrix!$A$2:$A$4,0),Z124))</f>
        <v>0.03</v>
      </c>
      <c r="AB124" s="41">
        <f>H124*AA124</f>
        <v>1688.49</v>
      </c>
      <c r="AC124" s="41">
        <f>H124+AB124</f>
        <v>57971.49</v>
      </c>
      <c r="AD124" s="26">
        <f>AC124/O124</f>
        <v>0.923554086346981</v>
      </c>
      <c r="AE12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25" spans="1:31" x14ac:dyDescent="0.3">
      <c r="A125">
        <v>1122</v>
      </c>
      <c r="B125" t="s">
        <v>25</v>
      </c>
      <c r="C125" t="s">
        <v>26</v>
      </c>
      <c r="D125">
        <v>3</v>
      </c>
      <c r="E125" t="s">
        <v>14</v>
      </c>
      <c r="F125" t="s">
        <v>26</v>
      </c>
      <c r="G125" t="s">
        <v>15</v>
      </c>
      <c r="H125" s="41">
        <v>72026</v>
      </c>
      <c r="I125" t="b">
        <v>1</v>
      </c>
      <c r="J125">
        <v>2</v>
      </c>
      <c r="K125" t="s">
        <v>16</v>
      </c>
      <c r="L125" s="1">
        <v>44409</v>
      </c>
      <c r="M125">
        <v>11</v>
      </c>
      <c r="N125" s="42">
        <f>VLOOKUP(B125,Market_Salary_Benchmarks!$A$1:$G$11,5,FALSE)</f>
        <v>49460</v>
      </c>
      <c r="O125" s="42">
        <f>VLOOKUP(B125,Market_Salary_Benchmarks!$A$1:$G$11,6,FALSE)</f>
        <v>78370</v>
      </c>
      <c r="P125" s="42">
        <f>VLOOKUP(B125,Market_Salary_Benchmarks!$A$1:$G$11,7,FALSE)</f>
        <v>104330</v>
      </c>
      <c r="Q125" s="26">
        <f>H125/O125</f>
        <v>0.91905065713921141</v>
      </c>
      <c r="R125" s="26">
        <f>(H125-N125)/(P125-N125)</f>
        <v>0.41126298523783489</v>
      </c>
      <c r="S125" s="23" t="str">
        <f>IF(H125 &lt; N125, "Below Market", IF(H125 &gt; P125, "Above Market", "At Market"))</f>
        <v>At Market</v>
      </c>
      <c r="T125" s="22" t="str">
        <f>B125 &amp; "-" &amp; D125</f>
        <v>Financial Analyst-3</v>
      </c>
      <c r="U125" s="41">
        <f>AVERAGEIFS(H:H, K:K, "Female", B:B, B125, D:D, D125)</f>
        <v>76962.636363636368</v>
      </c>
      <c r="V125" s="41">
        <f>AVERAGEIFS(H:H, K:K, "Male", B:B, B125, D:D, D125)</f>
        <v>77416</v>
      </c>
      <c r="W125" s="27">
        <f>(V125-U125)/V125</f>
        <v>5.8562007383955823E-3</v>
      </c>
      <c r="X125" s="23" t="str">
        <f>IF(ABS(W125) &gt;= 0.1, "High Risk",
 IF(ABS(W125) &gt;= 0.05, "Moderate Risk",
 "Low Risk"))</f>
        <v>Low Risk</v>
      </c>
      <c r="Y125" t="str">
        <f>IF(J125&gt;=3,"Yes","No")</f>
        <v>No</v>
      </c>
      <c r="Z125">
        <f>IF(TRIM(S125)="Below Market",1,
 IF(TRIM(S125)="At Market",2,
 IF(TRIM(S125)="Above Market",3,0)))</f>
        <v>2</v>
      </c>
      <c r="AA125" s="26" cm="1">
        <f t="array" ref="AA125">IF($Y125&lt;&gt;"Yes",0,INDEX(Merit_Matrix!$B$2:$D$4,MATCH($J125,Merit_Matrix!$A$2:$A$4,0),Z125))</f>
        <v>0</v>
      </c>
      <c r="AB125" s="41">
        <f>H125*AA125</f>
        <v>0</v>
      </c>
      <c r="AC125" s="41">
        <f>H125+AB125</f>
        <v>72026</v>
      </c>
      <c r="AD125" s="26">
        <f>AC125/O125</f>
        <v>0.91905065713921141</v>
      </c>
      <c r="AE12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26" spans="1:31" x14ac:dyDescent="0.3">
      <c r="A126">
        <v>1123</v>
      </c>
      <c r="B126" t="s">
        <v>27</v>
      </c>
      <c r="C126" t="s">
        <v>26</v>
      </c>
      <c r="D126">
        <v>4</v>
      </c>
      <c r="E126" t="s">
        <v>14</v>
      </c>
      <c r="F126" t="s">
        <v>26</v>
      </c>
      <c r="G126" t="s">
        <v>15</v>
      </c>
      <c r="H126" s="41">
        <v>90219</v>
      </c>
      <c r="I126" t="b">
        <v>1</v>
      </c>
      <c r="J126">
        <v>3</v>
      </c>
      <c r="K126" t="s">
        <v>16</v>
      </c>
      <c r="L126" s="1">
        <v>43989</v>
      </c>
      <c r="M126">
        <v>2</v>
      </c>
      <c r="N126" s="42">
        <f>VLOOKUP(B126,Market_Salary_Benchmarks!$A$1:$G$11,5,FALSE)</f>
        <v>105000</v>
      </c>
      <c r="O126" s="42">
        <f>VLOOKUP(B126,Market_Salary_Benchmarks!$A$1:$G$11,6,FALSE)</f>
        <v>138040</v>
      </c>
      <c r="P126" s="42">
        <f>VLOOKUP(B126,Market_Salary_Benchmarks!$A$1:$G$11,7,FALSE)</f>
        <v>179950</v>
      </c>
      <c r="Q126" s="26">
        <f>H126/O126</f>
        <v>0.65357142857142858</v>
      </c>
      <c r="R126" s="26">
        <f>(H126-N126)/(P126-N126)</f>
        <v>-0.19721147431621081</v>
      </c>
      <c r="S126" s="23" t="str">
        <f>IF(H126 &lt; N126, "Below Market", IF(H126 &gt; P126, "Above Market", "At Market"))</f>
        <v>Below Market</v>
      </c>
      <c r="T126" s="22" t="str">
        <f>B126 &amp; "-" &amp; D126</f>
        <v>Senior Financial Analyst-4</v>
      </c>
      <c r="U126" s="41">
        <f>AVERAGEIFS(H:H, K:K, "Female", B:B, B126, D:D, D126)</f>
        <v>94329.75</v>
      </c>
      <c r="V126" s="41">
        <f>AVERAGEIFS(H:H, K:K, "Male", B:B, B126, D:D, D126)</f>
        <v>94897.166666666672</v>
      </c>
      <c r="W126" s="27">
        <f>(V126-U126)/V126</f>
        <v>5.9792793251643075E-3</v>
      </c>
      <c r="X126" s="23" t="str">
        <f>IF(ABS(W126) &gt;= 0.1, "High Risk",
 IF(ABS(W126) &gt;= 0.05, "Moderate Risk",
 "Low Risk"))</f>
        <v>Low Risk</v>
      </c>
      <c r="Y126" t="str">
        <f>IF(J126&gt;=3,"Yes","No")</f>
        <v>Yes</v>
      </c>
      <c r="Z126">
        <f>IF(TRIM(S126)="Below Market",1,
 IF(TRIM(S126)="At Market",2,
 IF(TRIM(S126)="Above Market",3,0)))</f>
        <v>1</v>
      </c>
      <c r="AA126" s="26" cm="1">
        <f t="array" ref="AA126">IF($Y126&lt;&gt;"Yes",0,INDEX(Merit_Matrix!$B$2:$D$4,MATCH($J126,Merit_Matrix!$A$2:$A$4,0),Z126))</f>
        <v>3.5000000000000003E-2</v>
      </c>
      <c r="AB126" s="41">
        <f>H126*AA126</f>
        <v>3157.6650000000004</v>
      </c>
      <c r="AC126" s="41">
        <f>H126+AB126</f>
        <v>93376.664999999994</v>
      </c>
      <c r="AD126" s="26">
        <f>AC126/O126</f>
        <v>0.67644642857142856</v>
      </c>
      <c r="AE126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27" spans="1:31" x14ac:dyDescent="0.3">
      <c r="A127">
        <v>1124</v>
      </c>
      <c r="B127" t="s">
        <v>27</v>
      </c>
      <c r="C127" t="s">
        <v>26</v>
      </c>
      <c r="D127">
        <v>4</v>
      </c>
      <c r="E127" t="s">
        <v>14</v>
      </c>
      <c r="F127" t="s">
        <v>26</v>
      </c>
      <c r="G127" t="s">
        <v>15</v>
      </c>
      <c r="H127" s="41">
        <v>102231</v>
      </c>
      <c r="I127" t="b">
        <v>1</v>
      </c>
      <c r="J127">
        <v>3</v>
      </c>
      <c r="K127" t="s">
        <v>19</v>
      </c>
      <c r="L127" s="1">
        <v>43488</v>
      </c>
      <c r="M127">
        <v>2</v>
      </c>
      <c r="N127" s="42">
        <f>VLOOKUP(B127,Market_Salary_Benchmarks!$A$1:$G$11,5,FALSE)</f>
        <v>105000</v>
      </c>
      <c r="O127" s="42">
        <f>VLOOKUP(B127,Market_Salary_Benchmarks!$A$1:$G$11,6,FALSE)</f>
        <v>138040</v>
      </c>
      <c r="P127" s="42">
        <f>VLOOKUP(B127,Market_Salary_Benchmarks!$A$1:$G$11,7,FALSE)</f>
        <v>179950</v>
      </c>
      <c r="Q127" s="26">
        <f>H127/O127</f>
        <v>0.74058968414952187</v>
      </c>
      <c r="R127" s="26">
        <f>(H127-N127)/(P127-N127)</f>
        <v>-3.6944629753168777E-2</v>
      </c>
      <c r="S127" s="23" t="str">
        <f>IF(H127 &lt; N127, "Below Market", IF(H127 &gt; P127, "Above Market", "At Market"))</f>
        <v>Below Market</v>
      </c>
      <c r="T127" s="22" t="str">
        <f>B127 &amp; "-" &amp; D127</f>
        <v>Senior Financial Analyst-4</v>
      </c>
      <c r="U127" s="41">
        <f>AVERAGEIFS(H:H, K:K, "Female", B:B, B127, D:D, D127)</f>
        <v>94329.75</v>
      </c>
      <c r="V127" s="41">
        <f>AVERAGEIFS(H:H, K:K, "Male", B:B, B127, D:D, D127)</f>
        <v>94897.166666666672</v>
      </c>
      <c r="W127" s="27">
        <f>(V127-U127)/V127</f>
        <v>5.9792793251643075E-3</v>
      </c>
      <c r="X127" s="23" t="str">
        <f>IF(ABS(W127) &gt;= 0.1, "High Risk",
 IF(ABS(W127) &gt;= 0.05, "Moderate Risk",
 "Low Risk"))</f>
        <v>Low Risk</v>
      </c>
      <c r="Y127" t="str">
        <f>IF(J127&gt;=3,"Yes","No")</f>
        <v>Yes</v>
      </c>
      <c r="Z127">
        <f>IF(TRIM(S127)="Below Market",1,
 IF(TRIM(S127)="At Market",2,
 IF(TRIM(S127)="Above Market",3,0)))</f>
        <v>1</v>
      </c>
      <c r="AA127" s="26" cm="1">
        <f t="array" ref="AA127">IF($Y127&lt;&gt;"Yes",0,INDEX(Merit_Matrix!$B$2:$D$4,MATCH($J127,Merit_Matrix!$A$2:$A$4,0),Z127))</f>
        <v>3.5000000000000003E-2</v>
      </c>
      <c r="AB127" s="41">
        <f>H127*AA127</f>
        <v>3578.0850000000005</v>
      </c>
      <c r="AC127" s="41">
        <f>H127+AB127</f>
        <v>105809.08500000001</v>
      </c>
      <c r="AD127" s="26">
        <f>AC127/O127</f>
        <v>0.7665103230947552</v>
      </c>
      <c r="AE12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28" spans="1:31" x14ac:dyDescent="0.3">
      <c r="A128">
        <v>1125</v>
      </c>
      <c r="B128" t="s">
        <v>27</v>
      </c>
      <c r="C128" t="s">
        <v>26</v>
      </c>
      <c r="D128">
        <v>4</v>
      </c>
      <c r="E128" t="s">
        <v>14</v>
      </c>
      <c r="F128" t="s">
        <v>26</v>
      </c>
      <c r="G128" t="s">
        <v>15</v>
      </c>
      <c r="H128" s="41">
        <v>88235</v>
      </c>
      <c r="I128" t="b">
        <v>1</v>
      </c>
      <c r="J128">
        <v>3</v>
      </c>
      <c r="K128" t="s">
        <v>19</v>
      </c>
      <c r="L128" s="1">
        <v>42745</v>
      </c>
      <c r="M128">
        <v>12</v>
      </c>
      <c r="N128" s="42">
        <f>VLOOKUP(B128,Market_Salary_Benchmarks!$A$1:$G$11,5,FALSE)</f>
        <v>105000</v>
      </c>
      <c r="O128" s="42">
        <f>VLOOKUP(B128,Market_Salary_Benchmarks!$A$1:$G$11,6,FALSE)</f>
        <v>138040</v>
      </c>
      <c r="P128" s="42">
        <f>VLOOKUP(B128,Market_Salary_Benchmarks!$A$1:$G$11,7,FALSE)</f>
        <v>179950</v>
      </c>
      <c r="Q128" s="26">
        <f>H128/O128</f>
        <v>0.63919878296146049</v>
      </c>
      <c r="R128" s="26">
        <f>(H128-N128)/(P128-N128)</f>
        <v>-0.22368245496997999</v>
      </c>
      <c r="S128" s="23" t="str">
        <f>IF(H128 &lt; N128, "Below Market", IF(H128 &gt; P128, "Above Market", "At Market"))</f>
        <v>Below Market</v>
      </c>
      <c r="T128" s="22" t="str">
        <f>B128 &amp; "-" &amp; D128</f>
        <v>Senior Financial Analyst-4</v>
      </c>
      <c r="U128" s="41">
        <f>AVERAGEIFS(H:H, K:K, "Female", B:B, B128, D:D, D128)</f>
        <v>94329.75</v>
      </c>
      <c r="V128" s="41">
        <f>AVERAGEIFS(H:H, K:K, "Male", B:B, B128, D:D, D128)</f>
        <v>94897.166666666672</v>
      </c>
      <c r="W128" s="27">
        <f>(V128-U128)/V128</f>
        <v>5.9792793251643075E-3</v>
      </c>
      <c r="X128" s="23" t="str">
        <f>IF(ABS(W128) &gt;= 0.1, "High Risk",
 IF(ABS(W128) &gt;= 0.05, "Moderate Risk",
 "Low Risk"))</f>
        <v>Low Risk</v>
      </c>
      <c r="Y128" t="str">
        <f>IF(J128&gt;=3,"Yes","No")</f>
        <v>Yes</v>
      </c>
      <c r="Z128">
        <f>IF(TRIM(S128)="Below Market",1,
 IF(TRIM(S128)="At Market",2,
 IF(TRIM(S128)="Above Market",3,0)))</f>
        <v>1</v>
      </c>
      <c r="AA128" s="26" cm="1">
        <f t="array" ref="AA128">IF($Y128&lt;&gt;"Yes",0,INDEX(Merit_Matrix!$B$2:$D$4,MATCH($J128,Merit_Matrix!$A$2:$A$4,0),Z128))</f>
        <v>3.5000000000000003E-2</v>
      </c>
      <c r="AB128" s="41">
        <f>H128*AA128</f>
        <v>3088.2250000000004</v>
      </c>
      <c r="AC128" s="41">
        <f>H128+AB128</f>
        <v>91323.225000000006</v>
      </c>
      <c r="AD128" s="26">
        <f>AC128/O128</f>
        <v>0.66157074036511165</v>
      </c>
      <c r="AE128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29" spans="1:31" x14ac:dyDescent="0.3">
      <c r="A129">
        <v>1126</v>
      </c>
      <c r="B129" t="s">
        <v>22</v>
      </c>
      <c r="C129" t="s">
        <v>18</v>
      </c>
      <c r="D129">
        <v>3</v>
      </c>
      <c r="E129" t="s">
        <v>14</v>
      </c>
      <c r="F129" t="s">
        <v>18</v>
      </c>
      <c r="G129" t="s">
        <v>15</v>
      </c>
      <c r="H129" s="41">
        <v>78162</v>
      </c>
      <c r="I129" t="b">
        <v>1</v>
      </c>
      <c r="J129">
        <v>4</v>
      </c>
      <c r="K129" t="s">
        <v>16</v>
      </c>
      <c r="L129" s="1">
        <v>44225</v>
      </c>
      <c r="M129">
        <v>14</v>
      </c>
      <c r="N129" s="42">
        <f>VLOOKUP(B129,Market_Salary_Benchmarks!$A$1:$G$11,5,FALSE)</f>
        <v>103040</v>
      </c>
      <c r="O129" s="42">
        <f>VLOOKUP(B129,Market_Salary_Benchmarks!$A$1:$G$11,6,FALSE)</f>
        <v>133500</v>
      </c>
      <c r="P129" s="42">
        <f>VLOOKUP(B129,Market_Salary_Benchmarks!$A$1:$G$11,7,FALSE)</f>
        <v>171680</v>
      </c>
      <c r="Q129" s="26">
        <f>H129/O129</f>
        <v>0.58548314606741569</v>
      </c>
      <c r="R129" s="26">
        <f>(H129-N129)/(P129-N129)</f>
        <v>-0.36244172494172494</v>
      </c>
      <c r="S129" s="23" t="str">
        <f>IF(H129 &lt; N129, "Below Market", IF(H129 &gt; P129, "Above Market", "At Market"))</f>
        <v>Below Market</v>
      </c>
      <c r="T129" s="22" t="str">
        <f>B129 &amp; "-" &amp; D129</f>
        <v>Senior IT Analyst-3</v>
      </c>
      <c r="U129" s="41">
        <f>AVERAGEIFS(H:H, K:K, "Female", B:B, B129, D:D, D129)</f>
        <v>78401.571428571435</v>
      </c>
      <c r="V129" s="41">
        <f>AVERAGEIFS(H:H, K:K, "Male", B:B, B129, D:D, D129)</f>
        <v>75875.125</v>
      </c>
      <c r="W129" s="27">
        <f>(V129-U129)/V129</f>
        <v>-3.3297426904686282E-2</v>
      </c>
      <c r="X129" s="23" t="str">
        <f>IF(ABS(W129) &gt;= 0.1, "High Risk",
 IF(ABS(W129) &gt;= 0.05, "Moderate Risk",
 "Low Risk"))</f>
        <v>Low Risk</v>
      </c>
      <c r="Y129" t="str">
        <f>IF(J129&gt;=3,"Yes","No")</f>
        <v>Yes</v>
      </c>
      <c r="Z129">
        <f>IF(TRIM(S129)="Below Market",1,
 IF(TRIM(S129)="At Market",2,
 IF(TRIM(S129)="Above Market",3,0)))</f>
        <v>1</v>
      </c>
      <c r="AA129" s="26" cm="1">
        <f t="array" ref="AA129">IF($Y129&lt;&gt;"Yes",0,INDEX(Merit_Matrix!$B$2:$D$4,MATCH($J129,Merit_Matrix!$A$2:$A$4,0),Z129))</f>
        <v>0.05</v>
      </c>
      <c r="AB129" s="41">
        <f>H129*AA129</f>
        <v>3908.1000000000004</v>
      </c>
      <c r="AC129" s="41">
        <f>H129+AB129</f>
        <v>82070.100000000006</v>
      </c>
      <c r="AD129" s="26">
        <f>AC129/O129</f>
        <v>0.6147573033707866</v>
      </c>
      <c r="AE129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30" spans="1:31" x14ac:dyDescent="0.3">
      <c r="A130">
        <v>1127</v>
      </c>
      <c r="B130" t="s">
        <v>17</v>
      </c>
      <c r="C130" t="s">
        <v>18</v>
      </c>
      <c r="D130">
        <v>2</v>
      </c>
      <c r="E130" t="s">
        <v>14</v>
      </c>
      <c r="F130" t="s">
        <v>18</v>
      </c>
      <c r="G130" t="s">
        <v>15</v>
      </c>
      <c r="H130" s="41">
        <v>62042</v>
      </c>
      <c r="I130" t="b">
        <v>0</v>
      </c>
      <c r="J130">
        <v>4</v>
      </c>
      <c r="K130" t="s">
        <v>19</v>
      </c>
      <c r="L130" s="1">
        <v>42447</v>
      </c>
      <c r="M130">
        <v>11</v>
      </c>
      <c r="N130" s="42">
        <f>VLOOKUP(B130,Market_Salary_Benchmarks!$A$1:$G$11,5,FALSE)</f>
        <v>81130</v>
      </c>
      <c r="O130" s="42">
        <f>VLOOKUP(B130,Market_Salary_Benchmarks!$A$1:$G$11,6,FALSE)</f>
        <v>103730</v>
      </c>
      <c r="P130" s="42">
        <f>VLOOKUP(B130,Market_Salary_Benchmarks!$A$1:$G$11,7,FALSE)</f>
        <v>132670</v>
      </c>
      <c r="Q130" s="26">
        <f>H130/O130</f>
        <v>0.59811047912850668</v>
      </c>
      <c r="R130" s="26">
        <f>(H130-N130)/(P130-N130)</f>
        <v>-0.37035312378734964</v>
      </c>
      <c r="S130" s="23" t="str">
        <f>IF(H130 &lt; N130, "Below Market", IF(H130 &gt; P130, "Above Market", "At Market"))</f>
        <v>Below Market</v>
      </c>
      <c r="T130" s="22" t="str">
        <f>B130 &amp; "-" &amp; D130</f>
        <v>IT Analyst-2</v>
      </c>
      <c r="U130" s="41">
        <f>AVERAGEIFS(H:H, K:K, "Female", B:B, B130, D:D, D130)</f>
        <v>55600.230769230766</v>
      </c>
      <c r="V130" s="41">
        <f>AVERAGEIFS(H:H, K:K, "Male", B:B, B130, D:D, D130)</f>
        <v>58468.727272727272</v>
      </c>
      <c r="W130" s="27">
        <f>(V130-U130)/V130</f>
        <v>4.9060354779340579E-2</v>
      </c>
      <c r="X130" s="23" t="str">
        <f>IF(ABS(W130) &gt;= 0.1, "High Risk",
 IF(ABS(W130) &gt;= 0.05, "Moderate Risk",
 "Low Risk"))</f>
        <v>Low Risk</v>
      </c>
      <c r="Y130" t="str">
        <f>IF(J130&gt;=3,"Yes","No")</f>
        <v>Yes</v>
      </c>
      <c r="Z130">
        <f>IF(TRIM(S130)="Below Market",1,
 IF(TRIM(S130)="At Market",2,
 IF(TRIM(S130)="Above Market",3,0)))</f>
        <v>1</v>
      </c>
      <c r="AA130" s="26" cm="1">
        <f t="array" ref="AA130">IF($Y130&lt;&gt;"Yes",0,INDEX(Merit_Matrix!$B$2:$D$4,MATCH($J130,Merit_Matrix!$A$2:$A$4,0),Z130))</f>
        <v>0.05</v>
      </c>
      <c r="AB130" s="41">
        <f>H130*AA130</f>
        <v>3102.1000000000004</v>
      </c>
      <c r="AC130" s="41">
        <f>H130+AB130</f>
        <v>65144.1</v>
      </c>
      <c r="AD130" s="26">
        <f>AC130/O130</f>
        <v>0.628016003084932</v>
      </c>
      <c r="AE130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31" spans="1:31" x14ac:dyDescent="0.3">
      <c r="A131">
        <v>1128</v>
      </c>
      <c r="B131" t="s">
        <v>25</v>
      </c>
      <c r="C131" t="s">
        <v>26</v>
      </c>
      <c r="D131">
        <v>3</v>
      </c>
      <c r="E131" t="s">
        <v>14</v>
      </c>
      <c r="F131" t="s">
        <v>26</v>
      </c>
      <c r="G131" t="s">
        <v>15</v>
      </c>
      <c r="H131" s="41">
        <v>84060</v>
      </c>
      <c r="I131" t="b">
        <v>1</v>
      </c>
      <c r="J131">
        <v>3</v>
      </c>
      <c r="K131" t="s">
        <v>16</v>
      </c>
      <c r="L131" s="1">
        <v>45217</v>
      </c>
      <c r="M131">
        <v>4</v>
      </c>
      <c r="N131" s="42">
        <f>VLOOKUP(B131,Market_Salary_Benchmarks!$A$1:$G$11,5,FALSE)</f>
        <v>49460</v>
      </c>
      <c r="O131" s="42">
        <f>VLOOKUP(B131,Market_Salary_Benchmarks!$A$1:$G$11,6,FALSE)</f>
        <v>78370</v>
      </c>
      <c r="P131" s="42">
        <f>VLOOKUP(B131,Market_Salary_Benchmarks!$A$1:$G$11,7,FALSE)</f>
        <v>104330</v>
      </c>
      <c r="Q131" s="26">
        <f>H131/O131</f>
        <v>1.0726043128748246</v>
      </c>
      <c r="R131" s="26">
        <f>(H131-N131)/(P131-N131)</f>
        <v>0.63058137415709858</v>
      </c>
      <c r="S131" s="23" t="str">
        <f>IF(H131 &lt; N131, "Below Market", IF(H131 &gt; P131, "Above Market", "At Market"))</f>
        <v>At Market</v>
      </c>
      <c r="T131" s="22" t="str">
        <f>B131 &amp; "-" &amp; D131</f>
        <v>Financial Analyst-3</v>
      </c>
      <c r="U131" s="41">
        <f>AVERAGEIFS(H:H, K:K, "Female", B:B, B131, D:D, D131)</f>
        <v>76962.636363636368</v>
      </c>
      <c r="V131" s="41">
        <f>AVERAGEIFS(H:H, K:K, "Male", B:B, B131, D:D, D131)</f>
        <v>77416</v>
      </c>
      <c r="W131" s="27">
        <f>(V131-U131)/V131</f>
        <v>5.8562007383955823E-3</v>
      </c>
      <c r="X131" s="23" t="str">
        <f>IF(ABS(W131) &gt;= 0.1, "High Risk",
 IF(ABS(W131) &gt;= 0.05, "Moderate Risk",
 "Low Risk"))</f>
        <v>Low Risk</v>
      </c>
      <c r="Y131" t="str">
        <f>IF(J131&gt;=3,"Yes","No")</f>
        <v>Yes</v>
      </c>
      <c r="Z131">
        <f>IF(TRIM(S131)="Below Market",1,
 IF(TRIM(S131)="At Market",2,
 IF(TRIM(S131)="Above Market",3,0)))</f>
        <v>2</v>
      </c>
      <c r="AA131" s="26" cm="1">
        <f t="array" ref="AA131">IF($Y131&lt;&gt;"Yes",0,INDEX(Merit_Matrix!$B$2:$D$4,MATCH($J131,Merit_Matrix!$A$2:$A$4,0),Z131))</f>
        <v>0.03</v>
      </c>
      <c r="AB131" s="41">
        <f>H131*AA131</f>
        <v>2521.7999999999997</v>
      </c>
      <c r="AC131" s="41">
        <f>H131+AB131</f>
        <v>86581.8</v>
      </c>
      <c r="AD131" s="26">
        <f>AC131/O131</f>
        <v>1.1047824422610693</v>
      </c>
      <c r="AE13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2" spans="1:31" x14ac:dyDescent="0.3">
      <c r="A132">
        <v>1129</v>
      </c>
      <c r="B132" t="s">
        <v>20</v>
      </c>
      <c r="C132" t="s">
        <v>13</v>
      </c>
      <c r="D132">
        <v>3</v>
      </c>
      <c r="E132" t="s">
        <v>21</v>
      </c>
      <c r="F132" t="s">
        <v>13</v>
      </c>
      <c r="G132" t="s">
        <v>15</v>
      </c>
      <c r="H132" s="41">
        <v>75142</v>
      </c>
      <c r="I132" t="b">
        <v>1</v>
      </c>
      <c r="J132">
        <v>3</v>
      </c>
      <c r="K132" t="s">
        <v>19</v>
      </c>
      <c r="L132" s="1">
        <v>44562</v>
      </c>
      <c r="M132">
        <v>2</v>
      </c>
      <c r="N132" s="42">
        <f>VLOOKUP(B132,Market_Salary_Benchmarks!$A$1:$G$11,5,FALSE)</f>
        <v>52500</v>
      </c>
      <c r="O132" s="42">
        <f>VLOOKUP(B132,Market_Salary_Benchmarks!$A$1:$G$11,6,FALSE)</f>
        <v>67210</v>
      </c>
      <c r="P132" s="42">
        <f>VLOOKUP(B132,Market_Salary_Benchmarks!$A$1:$G$11,7,FALSE)</f>
        <v>83970</v>
      </c>
      <c r="Q132" s="26">
        <f>H132/O132</f>
        <v>1.1180181520607053</v>
      </c>
      <c r="R132" s="26">
        <f>(H132-N132)/(P132-N132)</f>
        <v>0.7194788687639021</v>
      </c>
      <c r="S132" s="23" t="str">
        <f>IF(H132 &lt; N132, "Below Market", IF(H132 &gt; P132, "Above Market", "At Market"))</f>
        <v>At Market</v>
      </c>
      <c r="T132" s="22" t="str">
        <f>B132 &amp; "-" &amp; D132</f>
        <v>Operations Supervisor-3</v>
      </c>
      <c r="U132" s="41">
        <f>AVERAGEIFS(H:H, K:K, "Female", B:B, B132, D:D, D132)</f>
        <v>79072.21428571429</v>
      </c>
      <c r="V132" s="41">
        <f>AVERAGEIFS(H:H, K:K, "Male", B:B, B132, D:D, D132)</f>
        <v>76780.28571428571</v>
      </c>
      <c r="W132" s="27">
        <f>(V132-U132)/V132</f>
        <v>-2.9850482452713045E-2</v>
      </c>
      <c r="X132" s="23" t="str">
        <f>IF(ABS(W132) &gt;= 0.1, "High Risk",
 IF(ABS(W132) &gt;= 0.05, "Moderate Risk",
 "Low Risk"))</f>
        <v>Low Risk</v>
      </c>
      <c r="Y132" t="str">
        <f>IF(J132&gt;=3,"Yes","No")</f>
        <v>Yes</v>
      </c>
      <c r="Z132">
        <f>IF(TRIM(S132)="Below Market",1,
 IF(TRIM(S132)="At Market",2,
 IF(TRIM(S132)="Above Market",3,0)))</f>
        <v>2</v>
      </c>
      <c r="AA132" s="26" cm="1">
        <f t="array" ref="AA132">IF($Y132&lt;&gt;"Yes",0,INDEX(Merit_Matrix!$B$2:$D$4,MATCH($J132,Merit_Matrix!$A$2:$A$4,0),Z132))</f>
        <v>0.03</v>
      </c>
      <c r="AB132" s="41">
        <f>H132*AA132</f>
        <v>2254.2599999999998</v>
      </c>
      <c r="AC132" s="41">
        <f>H132+AB132</f>
        <v>77396.259999999995</v>
      </c>
      <c r="AD132" s="26">
        <f>AC132/O132</f>
        <v>1.1515586966225264</v>
      </c>
      <c r="AE13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3" spans="1:31" x14ac:dyDescent="0.3">
      <c r="A133">
        <v>1130</v>
      </c>
      <c r="B133" t="s">
        <v>12</v>
      </c>
      <c r="C133" t="s">
        <v>13</v>
      </c>
      <c r="D133">
        <v>4</v>
      </c>
      <c r="E133" t="s">
        <v>14</v>
      </c>
      <c r="F133" t="s">
        <v>13</v>
      </c>
      <c r="G133" t="s">
        <v>15</v>
      </c>
      <c r="H133" s="41">
        <v>91687</v>
      </c>
      <c r="I133" t="b">
        <v>1</v>
      </c>
      <c r="J133">
        <v>3</v>
      </c>
      <c r="K133" t="s">
        <v>19</v>
      </c>
      <c r="L133" s="1">
        <v>44340</v>
      </c>
      <c r="M133">
        <v>7</v>
      </c>
      <c r="N133" s="42">
        <f>VLOOKUP(B133,Market_Salary_Benchmarks!$A$1:$G$11,5,FALSE)</f>
        <v>74720</v>
      </c>
      <c r="O133" s="42">
        <f>VLOOKUP(B133,Market_Salary_Benchmarks!$A$1:$G$11,6,FALSE)</f>
        <v>106330</v>
      </c>
      <c r="P133" s="42">
        <f>VLOOKUP(B133,Market_Salary_Benchmarks!$A$1:$G$11,7,FALSE)</f>
        <v>162780</v>
      </c>
      <c r="Q133" s="26">
        <f>H133/O133</f>
        <v>0.86228721903507943</v>
      </c>
      <c r="R133" s="26">
        <f>(H133-N133)/(P133-N133)</f>
        <v>0.1926754485578015</v>
      </c>
      <c r="S133" s="23" t="str">
        <f>IF(H133 &lt; N133, "Below Market", IF(H133 &gt; P133, "Above Market", "At Market"))</f>
        <v>At Market</v>
      </c>
      <c r="T133" s="22" t="str">
        <f>B133 &amp; "-" &amp; D133</f>
        <v>Operations Manager-4</v>
      </c>
      <c r="U133" s="41">
        <f>AVERAGEIFS(H:H, K:K, "Female", B:B, B133, D:D, D133)</f>
        <v>96094.111111111109</v>
      </c>
      <c r="V133" s="41">
        <f>AVERAGEIFS(H:H, K:K, "Male", B:B, B133, D:D, D133)</f>
        <v>95248.28571428571</v>
      </c>
      <c r="W133" s="27">
        <f>(V133-U133)/V133</f>
        <v>-8.8802164835029597E-3</v>
      </c>
      <c r="X133" s="23" t="str">
        <f>IF(ABS(W133) &gt;= 0.1, "High Risk",
 IF(ABS(W133) &gt;= 0.05, "Moderate Risk",
 "Low Risk"))</f>
        <v>Low Risk</v>
      </c>
      <c r="Y133" t="str">
        <f>IF(J133&gt;=3,"Yes","No")</f>
        <v>Yes</v>
      </c>
      <c r="Z133">
        <f>IF(TRIM(S133)="Below Market",1,
 IF(TRIM(S133)="At Market",2,
 IF(TRIM(S133)="Above Market",3,0)))</f>
        <v>2</v>
      </c>
      <c r="AA133" s="26" cm="1">
        <f t="array" ref="AA133">IF($Y133&lt;&gt;"Yes",0,INDEX(Merit_Matrix!$B$2:$D$4,MATCH($J133,Merit_Matrix!$A$2:$A$4,0),Z133))</f>
        <v>0.03</v>
      </c>
      <c r="AB133" s="41">
        <f>H133*AA133</f>
        <v>2750.6099999999997</v>
      </c>
      <c r="AC133" s="41">
        <f>H133+AB133</f>
        <v>94437.61</v>
      </c>
      <c r="AD133" s="26">
        <f>AC133/O133</f>
        <v>0.88815583560613187</v>
      </c>
      <c r="AE13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4" spans="1:31" x14ac:dyDescent="0.3">
      <c r="A134">
        <v>1131</v>
      </c>
      <c r="B134" t="s">
        <v>20</v>
      </c>
      <c r="C134" t="s">
        <v>13</v>
      </c>
      <c r="D134">
        <v>3</v>
      </c>
      <c r="E134" t="s">
        <v>21</v>
      </c>
      <c r="F134" t="s">
        <v>13</v>
      </c>
      <c r="G134" t="s">
        <v>15</v>
      </c>
      <c r="H134" s="41">
        <v>84726</v>
      </c>
      <c r="I134" t="b">
        <v>1</v>
      </c>
      <c r="J134">
        <v>4</v>
      </c>
      <c r="K134" t="s">
        <v>19</v>
      </c>
      <c r="L134" s="1">
        <v>44405</v>
      </c>
      <c r="M134">
        <v>8</v>
      </c>
      <c r="N134" s="42">
        <f>VLOOKUP(B134,Market_Salary_Benchmarks!$A$1:$G$11,5,FALSE)</f>
        <v>52500</v>
      </c>
      <c r="O134" s="42">
        <f>VLOOKUP(B134,Market_Salary_Benchmarks!$A$1:$G$11,6,FALSE)</f>
        <v>67210</v>
      </c>
      <c r="P134" s="42">
        <f>VLOOKUP(B134,Market_Salary_Benchmarks!$A$1:$G$11,7,FALSE)</f>
        <v>83970</v>
      </c>
      <c r="Q134" s="26">
        <f>H134/O134</f>
        <v>1.2606159797649159</v>
      </c>
      <c r="R134" s="26">
        <f>(H134-N134)/(P134-N134)</f>
        <v>1.0240228789323165</v>
      </c>
      <c r="S134" s="23" t="str">
        <f>IF(H134 &lt; N134, "Below Market", IF(H134 &gt; P134, "Above Market", "At Market"))</f>
        <v>Above Market</v>
      </c>
      <c r="T134" s="22" t="str">
        <f>B134 &amp; "-" &amp; D134</f>
        <v>Operations Supervisor-3</v>
      </c>
      <c r="U134" s="41">
        <f>AVERAGEIFS(H:H, K:K, "Female", B:B, B134, D:D, D134)</f>
        <v>79072.21428571429</v>
      </c>
      <c r="V134" s="41">
        <f>AVERAGEIFS(H:H, K:K, "Male", B:B, B134, D:D, D134)</f>
        <v>76780.28571428571</v>
      </c>
      <c r="W134" s="27">
        <f>(V134-U134)/V134</f>
        <v>-2.9850482452713045E-2</v>
      </c>
      <c r="X134" s="23" t="str">
        <f>IF(ABS(W134) &gt;= 0.1, "High Risk",
 IF(ABS(W134) &gt;= 0.05, "Moderate Risk",
 "Low Risk"))</f>
        <v>Low Risk</v>
      </c>
      <c r="Y134" t="str">
        <f>IF(J134&gt;=3,"Yes","No")</f>
        <v>Yes</v>
      </c>
      <c r="Z134">
        <f>IF(TRIM(S134)="Below Market",1,
 IF(TRIM(S134)="At Market",2,
 IF(TRIM(S134)="Above Market",3,0)))</f>
        <v>3</v>
      </c>
      <c r="AA134" s="26" cm="1">
        <f t="array" ref="AA134">IF($Y134&lt;&gt;"Yes",0,INDEX(Merit_Matrix!$B$2:$D$4,MATCH($J134,Merit_Matrix!$A$2:$A$4,0),Z134))</f>
        <v>0.03</v>
      </c>
      <c r="AB134" s="41">
        <f>H134*AA134</f>
        <v>2541.7799999999997</v>
      </c>
      <c r="AC134" s="41">
        <f>H134+AB134</f>
        <v>87267.78</v>
      </c>
      <c r="AD134" s="26">
        <f>AC134/O134</f>
        <v>1.2984344591578634</v>
      </c>
      <c r="AE134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35" spans="1:31" x14ac:dyDescent="0.3">
      <c r="A135">
        <v>1132</v>
      </c>
      <c r="B135" t="s">
        <v>25</v>
      </c>
      <c r="C135" t="s">
        <v>26</v>
      </c>
      <c r="D135">
        <v>3</v>
      </c>
      <c r="E135" t="s">
        <v>14</v>
      </c>
      <c r="F135" t="s">
        <v>26</v>
      </c>
      <c r="G135" t="s">
        <v>15</v>
      </c>
      <c r="H135" s="41">
        <v>80789</v>
      </c>
      <c r="I135" t="b">
        <v>1</v>
      </c>
      <c r="J135">
        <v>4</v>
      </c>
      <c r="K135" t="s">
        <v>19</v>
      </c>
      <c r="L135" s="1">
        <v>43320</v>
      </c>
      <c r="M135">
        <v>2</v>
      </c>
      <c r="N135" s="42">
        <f>VLOOKUP(B135,Market_Salary_Benchmarks!$A$1:$G$11,5,FALSE)</f>
        <v>49460</v>
      </c>
      <c r="O135" s="42">
        <f>VLOOKUP(B135,Market_Salary_Benchmarks!$A$1:$G$11,6,FALSE)</f>
        <v>78370</v>
      </c>
      <c r="P135" s="42">
        <f>VLOOKUP(B135,Market_Salary_Benchmarks!$A$1:$G$11,7,FALSE)</f>
        <v>104330</v>
      </c>
      <c r="Q135" s="26">
        <f>H135/O135</f>
        <v>1.0308664029603165</v>
      </c>
      <c r="R135" s="26">
        <f>(H135-N135)/(P135-N135)</f>
        <v>0.57096774193548383</v>
      </c>
      <c r="S135" s="23" t="str">
        <f>IF(H135 &lt; N135, "Below Market", IF(H135 &gt; P135, "Above Market", "At Market"))</f>
        <v>At Market</v>
      </c>
      <c r="T135" s="22" t="str">
        <f>B135 &amp; "-" &amp; D135</f>
        <v>Financial Analyst-3</v>
      </c>
      <c r="U135" s="41">
        <f>AVERAGEIFS(H:H, K:K, "Female", B:B, B135, D:D, D135)</f>
        <v>76962.636363636368</v>
      </c>
      <c r="V135" s="41">
        <f>AVERAGEIFS(H:H, K:K, "Male", B:B, B135, D:D, D135)</f>
        <v>77416</v>
      </c>
      <c r="W135" s="27">
        <f>(V135-U135)/V135</f>
        <v>5.8562007383955823E-3</v>
      </c>
      <c r="X135" s="23" t="str">
        <f>IF(ABS(W135) &gt;= 0.1, "High Risk",
 IF(ABS(W135) &gt;= 0.05, "Moderate Risk",
 "Low Risk"))</f>
        <v>Low Risk</v>
      </c>
      <c r="Y135" t="str">
        <f>IF(J135&gt;=3,"Yes","No")</f>
        <v>Yes</v>
      </c>
      <c r="Z135">
        <f>IF(TRIM(S135)="Below Market",1,
 IF(TRIM(S135)="At Market",2,
 IF(TRIM(S135)="Above Market",3,0)))</f>
        <v>2</v>
      </c>
      <c r="AA135" s="26" cm="1">
        <f t="array" ref="AA135">IF($Y135&lt;&gt;"Yes",0,INDEX(Merit_Matrix!$B$2:$D$4,MATCH($J135,Merit_Matrix!$A$2:$A$4,0),Z135))</f>
        <v>0.04</v>
      </c>
      <c r="AB135" s="41">
        <f>H135*AA135</f>
        <v>3231.56</v>
      </c>
      <c r="AC135" s="41">
        <f>H135+AB135</f>
        <v>84020.56</v>
      </c>
      <c r="AD135" s="26">
        <f>AC135/O135</f>
        <v>1.072101059078729</v>
      </c>
      <c r="AE13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6" spans="1:31" x14ac:dyDescent="0.3">
      <c r="A136">
        <v>1133</v>
      </c>
      <c r="B136" t="s">
        <v>25</v>
      </c>
      <c r="C136" t="s">
        <v>26</v>
      </c>
      <c r="D136">
        <v>3</v>
      </c>
      <c r="E136" t="s">
        <v>14</v>
      </c>
      <c r="F136" t="s">
        <v>26</v>
      </c>
      <c r="G136" t="s">
        <v>15</v>
      </c>
      <c r="H136" s="41">
        <v>80049</v>
      </c>
      <c r="I136" t="b">
        <v>1</v>
      </c>
      <c r="J136">
        <v>4</v>
      </c>
      <c r="K136" t="s">
        <v>19</v>
      </c>
      <c r="L136" s="1">
        <v>43511</v>
      </c>
      <c r="M136">
        <v>7</v>
      </c>
      <c r="N136" s="42">
        <f>VLOOKUP(B136,Market_Salary_Benchmarks!$A$1:$G$11,5,FALSE)</f>
        <v>49460</v>
      </c>
      <c r="O136" s="42">
        <f>VLOOKUP(B136,Market_Salary_Benchmarks!$A$1:$G$11,6,FALSE)</f>
        <v>78370</v>
      </c>
      <c r="P136" s="42">
        <f>VLOOKUP(B136,Market_Salary_Benchmarks!$A$1:$G$11,7,FALSE)</f>
        <v>104330</v>
      </c>
      <c r="Q136" s="26">
        <f>H136/O136</f>
        <v>1.0214240142911828</v>
      </c>
      <c r="R136" s="26">
        <f>(H136-N136)/(P136-N136)</f>
        <v>0.55748131948241297</v>
      </c>
      <c r="S136" s="23" t="str">
        <f>IF(H136 &lt; N136, "Below Market", IF(H136 &gt; P136, "Above Market", "At Market"))</f>
        <v>At Market</v>
      </c>
      <c r="T136" s="22" t="str">
        <f>B136 &amp; "-" &amp; D136</f>
        <v>Financial Analyst-3</v>
      </c>
      <c r="U136" s="41">
        <f>AVERAGEIFS(H:H, K:K, "Female", B:B, B136, D:D, D136)</f>
        <v>76962.636363636368</v>
      </c>
      <c r="V136" s="41">
        <f>AVERAGEIFS(H:H, K:K, "Male", B:B, B136, D:D, D136)</f>
        <v>77416</v>
      </c>
      <c r="W136" s="27">
        <f>(V136-U136)/V136</f>
        <v>5.8562007383955823E-3</v>
      </c>
      <c r="X136" s="23" t="str">
        <f>IF(ABS(W136) &gt;= 0.1, "High Risk",
 IF(ABS(W136) &gt;= 0.05, "Moderate Risk",
 "Low Risk"))</f>
        <v>Low Risk</v>
      </c>
      <c r="Y136" t="str">
        <f>IF(J136&gt;=3,"Yes","No")</f>
        <v>Yes</v>
      </c>
      <c r="Z136">
        <f>IF(TRIM(S136)="Below Market",1,
 IF(TRIM(S136)="At Market",2,
 IF(TRIM(S136)="Above Market",3,0)))</f>
        <v>2</v>
      </c>
      <c r="AA136" s="26" cm="1">
        <f t="array" ref="AA136">IF($Y136&lt;&gt;"Yes",0,INDEX(Merit_Matrix!$B$2:$D$4,MATCH($J136,Merit_Matrix!$A$2:$A$4,0),Z136))</f>
        <v>0.04</v>
      </c>
      <c r="AB136" s="41">
        <f>H136*AA136</f>
        <v>3201.96</v>
      </c>
      <c r="AC136" s="41">
        <f>H136+AB136</f>
        <v>83250.960000000006</v>
      </c>
      <c r="AD136" s="26">
        <f>AC136/O136</f>
        <v>1.0622809748628304</v>
      </c>
      <c r="AE13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7" spans="1:31" x14ac:dyDescent="0.3">
      <c r="A137">
        <v>1134</v>
      </c>
      <c r="B137" t="s">
        <v>25</v>
      </c>
      <c r="C137" t="s">
        <v>26</v>
      </c>
      <c r="D137">
        <v>3</v>
      </c>
      <c r="E137" t="s">
        <v>14</v>
      </c>
      <c r="F137" t="s">
        <v>26</v>
      </c>
      <c r="G137" t="s">
        <v>15</v>
      </c>
      <c r="H137" s="41">
        <v>76359</v>
      </c>
      <c r="I137" t="b">
        <v>1</v>
      </c>
      <c r="J137">
        <v>3</v>
      </c>
      <c r="K137" t="s">
        <v>16</v>
      </c>
      <c r="L137" s="1">
        <v>44464</v>
      </c>
      <c r="M137">
        <v>5</v>
      </c>
      <c r="N137" s="42">
        <f>VLOOKUP(B137,Market_Salary_Benchmarks!$A$1:$G$11,5,FALSE)</f>
        <v>49460</v>
      </c>
      <c r="O137" s="42">
        <f>VLOOKUP(B137,Market_Salary_Benchmarks!$A$1:$G$11,6,FALSE)</f>
        <v>78370</v>
      </c>
      <c r="P137" s="42">
        <f>VLOOKUP(B137,Market_Salary_Benchmarks!$A$1:$G$11,7,FALSE)</f>
        <v>104330</v>
      </c>
      <c r="Q137" s="26">
        <f>H137/O137</f>
        <v>0.97433967079239503</v>
      </c>
      <c r="R137" s="26">
        <f>(H137-N137)/(P137-N137)</f>
        <v>0.490231456169127</v>
      </c>
      <c r="S137" s="23" t="str">
        <f>IF(H137 &lt; N137, "Below Market", IF(H137 &gt; P137, "Above Market", "At Market"))</f>
        <v>At Market</v>
      </c>
      <c r="T137" s="22" t="str">
        <f>B137 &amp; "-" &amp; D137</f>
        <v>Financial Analyst-3</v>
      </c>
      <c r="U137" s="41">
        <f>AVERAGEIFS(H:H, K:K, "Female", B:B, B137, D:D, D137)</f>
        <v>76962.636363636368</v>
      </c>
      <c r="V137" s="41">
        <f>AVERAGEIFS(H:H, K:K, "Male", B:B, B137, D:D, D137)</f>
        <v>77416</v>
      </c>
      <c r="W137" s="27">
        <f>(V137-U137)/V137</f>
        <v>5.8562007383955823E-3</v>
      </c>
      <c r="X137" s="23" t="str">
        <f>IF(ABS(W137) &gt;= 0.1, "High Risk",
 IF(ABS(W137) &gt;= 0.05, "Moderate Risk",
 "Low Risk"))</f>
        <v>Low Risk</v>
      </c>
      <c r="Y137" t="str">
        <f>IF(J137&gt;=3,"Yes","No")</f>
        <v>Yes</v>
      </c>
      <c r="Z137">
        <f>IF(TRIM(S137)="Below Market",1,
 IF(TRIM(S137)="At Market",2,
 IF(TRIM(S137)="Above Market",3,0)))</f>
        <v>2</v>
      </c>
      <c r="AA137" s="26" cm="1">
        <f t="array" ref="AA137">IF($Y137&lt;&gt;"Yes",0,INDEX(Merit_Matrix!$B$2:$D$4,MATCH($J137,Merit_Matrix!$A$2:$A$4,0),Z137))</f>
        <v>0.03</v>
      </c>
      <c r="AB137" s="41">
        <f>H137*AA137</f>
        <v>2290.77</v>
      </c>
      <c r="AC137" s="41">
        <f>H137+AB137</f>
        <v>78649.77</v>
      </c>
      <c r="AD137" s="26">
        <f>AC137/O137</f>
        <v>1.003569860916167</v>
      </c>
      <c r="AE13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8" spans="1:31" x14ac:dyDescent="0.3">
      <c r="A138">
        <v>1135</v>
      </c>
      <c r="B138" t="s">
        <v>28</v>
      </c>
      <c r="C138" t="s">
        <v>24</v>
      </c>
      <c r="D138">
        <v>3</v>
      </c>
      <c r="E138" t="s">
        <v>14</v>
      </c>
      <c r="F138" t="s">
        <v>24</v>
      </c>
      <c r="G138" t="s">
        <v>15</v>
      </c>
      <c r="H138" s="41">
        <v>72674</v>
      </c>
      <c r="I138" t="b">
        <v>1</v>
      </c>
      <c r="J138">
        <v>3</v>
      </c>
      <c r="K138" t="s">
        <v>16</v>
      </c>
      <c r="L138" s="1">
        <v>44204</v>
      </c>
      <c r="M138">
        <v>12</v>
      </c>
      <c r="N138" s="42">
        <f>VLOOKUP(B138,Market_Salary_Benchmarks!$A$1:$G$11,5,FALSE)</f>
        <v>50970</v>
      </c>
      <c r="O138" s="42">
        <f>VLOOKUP(B138,Market_Salary_Benchmarks!$A$1:$G$11,6,FALSE)</f>
        <v>56720</v>
      </c>
      <c r="P138" s="42">
        <f>VLOOKUP(B138,Market_Salary_Benchmarks!$A$1:$G$11,7,FALSE)</f>
        <v>75360</v>
      </c>
      <c r="Q138" s="26">
        <f>H138/O138</f>
        <v>1.2812764456981665</v>
      </c>
      <c r="R138" s="26">
        <f>(H138-N138)/(P138-N138)</f>
        <v>0.88987289872898734</v>
      </c>
      <c r="S138" s="23" t="str">
        <f>IF(H138 &lt; N138, "Below Market", IF(H138 &gt; P138, "Above Market", "At Market"))</f>
        <v>At Market</v>
      </c>
      <c r="T138" s="22" t="str">
        <f>B138 &amp; "-" &amp; D138</f>
        <v>Compensation Analyst-3</v>
      </c>
      <c r="U138" s="41">
        <f>AVERAGEIFS(H:H, K:K, "Female", B:B, B138, D:D, D138)</f>
        <v>76621.166666666672</v>
      </c>
      <c r="V138" s="41">
        <f>AVERAGEIFS(H:H, K:K, "Male", B:B, B138, D:D, D138)</f>
        <v>77763.875</v>
      </c>
      <c r="W138" s="27">
        <f>(V138-U138)/V138</f>
        <v>1.4694590943845436E-2</v>
      </c>
      <c r="X138" s="23" t="str">
        <f>IF(ABS(W138) &gt;= 0.1, "High Risk",
 IF(ABS(W138) &gt;= 0.05, "Moderate Risk",
 "Low Risk"))</f>
        <v>Low Risk</v>
      </c>
      <c r="Y138" t="str">
        <f>IF(J138&gt;=3,"Yes","No")</f>
        <v>Yes</v>
      </c>
      <c r="Z138">
        <f>IF(TRIM(S138)="Below Market",1,
 IF(TRIM(S138)="At Market",2,
 IF(TRIM(S138)="Above Market",3,0)))</f>
        <v>2</v>
      </c>
      <c r="AA138" s="26" cm="1">
        <f t="array" ref="AA138">IF($Y138&lt;&gt;"Yes",0,INDEX(Merit_Matrix!$B$2:$D$4,MATCH($J138,Merit_Matrix!$A$2:$A$4,0),Z138))</f>
        <v>0.03</v>
      </c>
      <c r="AB138" s="41">
        <f>H138*AA138</f>
        <v>2180.2199999999998</v>
      </c>
      <c r="AC138" s="41">
        <f>H138+AB138</f>
        <v>74854.22</v>
      </c>
      <c r="AD138" s="26">
        <f>AC138/O138</f>
        <v>1.3197147390691115</v>
      </c>
      <c r="AE13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39" spans="1:31" x14ac:dyDescent="0.3">
      <c r="A139">
        <v>1136</v>
      </c>
      <c r="B139" t="s">
        <v>27</v>
      </c>
      <c r="C139" t="s">
        <v>26</v>
      </c>
      <c r="D139">
        <v>4</v>
      </c>
      <c r="E139" t="s">
        <v>14</v>
      </c>
      <c r="F139" t="s">
        <v>26</v>
      </c>
      <c r="G139" t="s">
        <v>15</v>
      </c>
      <c r="H139" s="41">
        <v>102153</v>
      </c>
      <c r="I139" t="b">
        <v>1</v>
      </c>
      <c r="J139">
        <v>3</v>
      </c>
      <c r="K139" t="s">
        <v>16</v>
      </c>
      <c r="L139" s="1">
        <v>43081</v>
      </c>
      <c r="M139">
        <v>8</v>
      </c>
      <c r="N139" s="42">
        <f>VLOOKUP(B139,Market_Salary_Benchmarks!$A$1:$G$11,5,FALSE)</f>
        <v>105000</v>
      </c>
      <c r="O139" s="42">
        <f>VLOOKUP(B139,Market_Salary_Benchmarks!$A$1:$G$11,6,FALSE)</f>
        <v>138040</v>
      </c>
      <c r="P139" s="42">
        <f>VLOOKUP(B139,Market_Salary_Benchmarks!$A$1:$G$11,7,FALSE)</f>
        <v>179950</v>
      </c>
      <c r="Q139" s="26">
        <f>H139/O139</f>
        <v>0.74002463054187195</v>
      </c>
      <c r="R139" s="26">
        <f>(H139-N139)/(P139-N139)</f>
        <v>-3.7985323549032689E-2</v>
      </c>
      <c r="S139" s="23" t="str">
        <f>IF(H139 &lt; N139, "Below Market", IF(H139 &gt; P139, "Above Market", "At Market"))</f>
        <v>Below Market</v>
      </c>
      <c r="T139" s="22" t="str">
        <f>B139 &amp; "-" &amp; D139</f>
        <v>Senior Financial Analyst-4</v>
      </c>
      <c r="U139" s="41">
        <f>AVERAGEIFS(H:H, K:K, "Female", B:B, B139, D:D, D139)</f>
        <v>94329.75</v>
      </c>
      <c r="V139" s="41">
        <f>AVERAGEIFS(H:H, K:K, "Male", B:B, B139, D:D, D139)</f>
        <v>94897.166666666672</v>
      </c>
      <c r="W139" s="27">
        <f>(V139-U139)/V139</f>
        <v>5.9792793251643075E-3</v>
      </c>
      <c r="X139" s="23" t="str">
        <f>IF(ABS(W139) &gt;= 0.1, "High Risk",
 IF(ABS(W139) &gt;= 0.05, "Moderate Risk",
 "Low Risk"))</f>
        <v>Low Risk</v>
      </c>
      <c r="Y139" t="str">
        <f>IF(J139&gt;=3,"Yes","No")</f>
        <v>Yes</v>
      </c>
      <c r="Z139">
        <f>IF(TRIM(S139)="Below Market",1,
 IF(TRIM(S139)="At Market",2,
 IF(TRIM(S139)="Above Market",3,0)))</f>
        <v>1</v>
      </c>
      <c r="AA139" s="26" cm="1">
        <f t="array" ref="AA139">IF($Y139&lt;&gt;"Yes",0,INDEX(Merit_Matrix!$B$2:$D$4,MATCH($J139,Merit_Matrix!$A$2:$A$4,0),Z139))</f>
        <v>3.5000000000000003E-2</v>
      </c>
      <c r="AB139" s="41">
        <f>H139*AA139</f>
        <v>3575.3550000000005</v>
      </c>
      <c r="AC139" s="41">
        <f>H139+AB139</f>
        <v>105728.355</v>
      </c>
      <c r="AD139" s="26">
        <f>AC139/O139</f>
        <v>0.76592549261083742</v>
      </c>
      <c r="AE13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40" spans="1:31" x14ac:dyDescent="0.3">
      <c r="A140">
        <v>1137</v>
      </c>
      <c r="B140" t="s">
        <v>23</v>
      </c>
      <c r="C140" t="s">
        <v>24</v>
      </c>
      <c r="D140">
        <v>4</v>
      </c>
      <c r="E140" t="s">
        <v>14</v>
      </c>
      <c r="F140" t="s">
        <v>24</v>
      </c>
      <c r="G140" t="s">
        <v>15</v>
      </c>
      <c r="H140" s="41">
        <v>90443</v>
      </c>
      <c r="I140" t="b">
        <v>1</v>
      </c>
      <c r="J140">
        <v>5</v>
      </c>
      <c r="K140" t="s">
        <v>16</v>
      </c>
      <c r="L140" s="1">
        <v>43354</v>
      </c>
      <c r="M140">
        <v>2</v>
      </c>
      <c r="N140" s="42">
        <f>VLOOKUP(B140,Market_Salary_Benchmarks!$A$1:$G$11,5,FALSE)</f>
        <v>82620</v>
      </c>
      <c r="O140" s="42">
        <f>VLOOKUP(B140,Market_Salary_Benchmarks!$A$1:$G$11,6,FALSE)</f>
        <v>110030</v>
      </c>
      <c r="P140" s="42">
        <f>VLOOKUP(B140,Market_Salary_Benchmarks!$A$1:$G$11,7,FALSE)</f>
        <v>146810</v>
      </c>
      <c r="Q140" s="26">
        <f>H140/O140</f>
        <v>0.82198491320548939</v>
      </c>
      <c r="R140" s="26">
        <f>(H140-N140)/(P140-N140)</f>
        <v>0.12187256582022121</v>
      </c>
      <c r="S140" s="23" t="str">
        <f>IF(H140 &lt; N140, "Below Market", IF(H140 &gt; P140, "Above Market", "At Market"))</f>
        <v>At Market</v>
      </c>
      <c r="T140" s="22" t="str">
        <f>B140 &amp; "-" &amp; D140</f>
        <v>HR Manager-4</v>
      </c>
      <c r="U140" s="41">
        <f>AVERAGEIFS(H:H, K:K, "Female", B:B, B140, D:D, D140)</f>
        <v>97910.769230769234</v>
      </c>
      <c r="V140" s="41">
        <f>AVERAGEIFS(H:H, K:K, "Male", B:B, B140, D:D, D140)</f>
        <v>96300.666666666672</v>
      </c>
      <c r="W140" s="27">
        <f>(V140-U140)/V140</f>
        <v>-1.6719537048229805E-2</v>
      </c>
      <c r="X140" s="23" t="str">
        <f>IF(ABS(W140) &gt;= 0.1, "High Risk",
 IF(ABS(W140) &gt;= 0.05, "Moderate Risk",
 "Low Risk"))</f>
        <v>Low Risk</v>
      </c>
      <c r="Y140" t="str">
        <f>IF(J140&gt;=3,"Yes","No")</f>
        <v>Yes</v>
      </c>
      <c r="Z140">
        <f>IF(TRIM(S140)="Below Market",1,
 IF(TRIM(S140)="At Market",2,
 IF(TRIM(S140)="Above Market",3,0)))</f>
        <v>2</v>
      </c>
      <c r="AA140" s="26" cm="1">
        <f t="array" ref="AA140">IF($Y140&lt;&gt;"Yes",0,INDEX(Merit_Matrix!$B$2:$D$4,MATCH($J140,Merit_Matrix!$A$2:$A$4,0),Z140))</f>
        <v>0.05</v>
      </c>
      <c r="AB140" s="41">
        <f>H140*AA140</f>
        <v>4522.1500000000005</v>
      </c>
      <c r="AC140" s="41">
        <f>H140+AB140</f>
        <v>94965.15</v>
      </c>
      <c r="AD140" s="26">
        <f>AC140/O140</f>
        <v>0.86308415886576384</v>
      </c>
      <c r="AE14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41" spans="1:31" x14ac:dyDescent="0.3">
      <c r="A141">
        <v>1138</v>
      </c>
      <c r="B141" t="s">
        <v>17</v>
      </c>
      <c r="C141" t="s">
        <v>18</v>
      </c>
      <c r="D141">
        <v>2</v>
      </c>
      <c r="E141" t="s">
        <v>14</v>
      </c>
      <c r="F141" t="s">
        <v>18</v>
      </c>
      <c r="G141" t="s">
        <v>15</v>
      </c>
      <c r="H141" s="41">
        <v>50827</v>
      </c>
      <c r="I141" t="b">
        <v>0</v>
      </c>
      <c r="J141">
        <v>3</v>
      </c>
      <c r="K141" t="s">
        <v>16</v>
      </c>
      <c r="L141" s="1">
        <v>45305</v>
      </c>
      <c r="M141">
        <v>6</v>
      </c>
      <c r="N141" s="42">
        <f>VLOOKUP(B141,Market_Salary_Benchmarks!$A$1:$G$11,5,FALSE)</f>
        <v>81130</v>
      </c>
      <c r="O141" s="42">
        <f>VLOOKUP(B141,Market_Salary_Benchmarks!$A$1:$G$11,6,FALSE)</f>
        <v>103730</v>
      </c>
      <c r="P141" s="42">
        <f>VLOOKUP(B141,Market_Salary_Benchmarks!$A$1:$G$11,7,FALSE)</f>
        <v>132670</v>
      </c>
      <c r="Q141" s="26">
        <f>H141/O141</f>
        <v>0.48999325171117325</v>
      </c>
      <c r="R141" s="26">
        <f>(H141-N141)/(P141-N141)</f>
        <v>-0.58795110593713618</v>
      </c>
      <c r="S141" s="23" t="str">
        <f>IF(H141 &lt; N141, "Below Market", IF(H141 &gt; P141, "Above Market", "At Market"))</f>
        <v>Below Market</v>
      </c>
      <c r="T141" s="22" t="str">
        <f>B141 &amp; "-" &amp; D141</f>
        <v>IT Analyst-2</v>
      </c>
      <c r="U141" s="41">
        <f>AVERAGEIFS(H:H, K:K, "Female", B:B, B141, D:D, D141)</f>
        <v>55600.230769230766</v>
      </c>
      <c r="V141" s="41">
        <f>AVERAGEIFS(H:H, K:K, "Male", B:B, B141, D:D, D141)</f>
        <v>58468.727272727272</v>
      </c>
      <c r="W141" s="27">
        <f>(V141-U141)/V141</f>
        <v>4.9060354779340579E-2</v>
      </c>
      <c r="X141" s="23" t="str">
        <f>IF(ABS(W141) &gt;= 0.1, "High Risk",
 IF(ABS(W141) &gt;= 0.05, "Moderate Risk",
 "Low Risk"))</f>
        <v>Low Risk</v>
      </c>
      <c r="Y141" t="str">
        <f>IF(J141&gt;=3,"Yes","No")</f>
        <v>Yes</v>
      </c>
      <c r="Z141">
        <f>IF(TRIM(S141)="Below Market",1,
 IF(TRIM(S141)="At Market",2,
 IF(TRIM(S141)="Above Market",3,0)))</f>
        <v>1</v>
      </c>
      <c r="AA141" s="26" cm="1">
        <f t="array" ref="AA141">IF($Y141&lt;&gt;"Yes",0,INDEX(Merit_Matrix!$B$2:$D$4,MATCH($J141,Merit_Matrix!$A$2:$A$4,0),Z141))</f>
        <v>3.5000000000000003E-2</v>
      </c>
      <c r="AB141" s="41">
        <f>H141*AA141</f>
        <v>1778.9450000000002</v>
      </c>
      <c r="AC141" s="41">
        <f>H141+AB141</f>
        <v>52605.945</v>
      </c>
      <c r="AD141" s="26">
        <f>AC141/O141</f>
        <v>0.50714301552106433</v>
      </c>
      <c r="AE14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42" spans="1:31" x14ac:dyDescent="0.3">
      <c r="A142">
        <v>1139</v>
      </c>
      <c r="B142" t="s">
        <v>17</v>
      </c>
      <c r="C142" t="s">
        <v>18</v>
      </c>
      <c r="D142">
        <v>2</v>
      </c>
      <c r="E142" t="s">
        <v>14</v>
      </c>
      <c r="F142" t="s">
        <v>18</v>
      </c>
      <c r="G142" t="s">
        <v>15</v>
      </c>
      <c r="H142" s="41">
        <v>50126</v>
      </c>
      <c r="I142" t="b">
        <v>0</v>
      </c>
      <c r="J142">
        <v>3</v>
      </c>
      <c r="K142" t="s">
        <v>19</v>
      </c>
      <c r="L142" s="1">
        <v>43383</v>
      </c>
      <c r="M142">
        <v>4</v>
      </c>
      <c r="N142" s="42">
        <f>VLOOKUP(B142,Market_Salary_Benchmarks!$A$1:$G$11,5,FALSE)</f>
        <v>81130</v>
      </c>
      <c r="O142" s="42">
        <f>VLOOKUP(B142,Market_Salary_Benchmarks!$A$1:$G$11,6,FALSE)</f>
        <v>103730</v>
      </c>
      <c r="P142" s="42">
        <f>VLOOKUP(B142,Market_Salary_Benchmarks!$A$1:$G$11,7,FALSE)</f>
        <v>132670</v>
      </c>
      <c r="Q142" s="26">
        <f>H142/O142</f>
        <v>0.48323532247180179</v>
      </c>
      <c r="R142" s="26">
        <f>(H142-N142)/(P142-N142)</f>
        <v>-0.60155219247186653</v>
      </c>
      <c r="S142" s="23" t="str">
        <f>IF(H142 &lt; N142, "Below Market", IF(H142 &gt; P142, "Above Market", "At Market"))</f>
        <v>Below Market</v>
      </c>
      <c r="T142" s="22" t="str">
        <f>B142 &amp; "-" &amp; D142</f>
        <v>IT Analyst-2</v>
      </c>
      <c r="U142" s="41">
        <f>AVERAGEIFS(H:H, K:K, "Female", B:B, B142, D:D, D142)</f>
        <v>55600.230769230766</v>
      </c>
      <c r="V142" s="41">
        <f>AVERAGEIFS(H:H, K:K, "Male", B:B, B142, D:D, D142)</f>
        <v>58468.727272727272</v>
      </c>
      <c r="W142" s="27">
        <f>(V142-U142)/V142</f>
        <v>4.9060354779340579E-2</v>
      </c>
      <c r="X142" s="23" t="str">
        <f>IF(ABS(W142) &gt;= 0.1, "High Risk",
 IF(ABS(W142) &gt;= 0.05, "Moderate Risk",
 "Low Risk"))</f>
        <v>Low Risk</v>
      </c>
      <c r="Y142" t="str">
        <f>IF(J142&gt;=3,"Yes","No")</f>
        <v>Yes</v>
      </c>
      <c r="Z142">
        <f>IF(TRIM(S142)="Below Market",1,
 IF(TRIM(S142)="At Market",2,
 IF(TRIM(S142)="Above Market",3,0)))</f>
        <v>1</v>
      </c>
      <c r="AA142" s="26" cm="1">
        <f t="array" ref="AA142">IF($Y142&lt;&gt;"Yes",0,INDEX(Merit_Matrix!$B$2:$D$4,MATCH($J142,Merit_Matrix!$A$2:$A$4,0),Z142))</f>
        <v>3.5000000000000003E-2</v>
      </c>
      <c r="AB142" s="41">
        <f>H142*AA142</f>
        <v>1754.41</v>
      </c>
      <c r="AC142" s="41">
        <f>H142+AB142</f>
        <v>51880.41</v>
      </c>
      <c r="AD142" s="26">
        <f>AC142/O142</f>
        <v>0.50014855875831488</v>
      </c>
      <c r="AE142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43" spans="1:31" x14ac:dyDescent="0.3">
      <c r="A143">
        <v>1140</v>
      </c>
      <c r="B143" t="s">
        <v>17</v>
      </c>
      <c r="C143" t="s">
        <v>18</v>
      </c>
      <c r="D143">
        <v>2</v>
      </c>
      <c r="E143" t="s">
        <v>14</v>
      </c>
      <c r="F143" t="s">
        <v>18</v>
      </c>
      <c r="G143" t="s">
        <v>15</v>
      </c>
      <c r="H143" s="41">
        <v>53368</v>
      </c>
      <c r="I143" t="b">
        <v>0</v>
      </c>
      <c r="J143">
        <v>3</v>
      </c>
      <c r="K143" t="s">
        <v>16</v>
      </c>
      <c r="L143" s="1">
        <v>44006</v>
      </c>
      <c r="M143">
        <v>6</v>
      </c>
      <c r="N143" s="42">
        <f>VLOOKUP(B143,Market_Salary_Benchmarks!$A$1:$G$11,5,FALSE)</f>
        <v>81130</v>
      </c>
      <c r="O143" s="42">
        <f>VLOOKUP(B143,Market_Salary_Benchmarks!$A$1:$G$11,6,FALSE)</f>
        <v>103730</v>
      </c>
      <c r="P143" s="42">
        <f>VLOOKUP(B143,Market_Salary_Benchmarks!$A$1:$G$11,7,FALSE)</f>
        <v>132670</v>
      </c>
      <c r="Q143" s="26">
        <f>H143/O143</f>
        <v>0.51448954015231851</v>
      </c>
      <c r="R143" s="26">
        <f>(H143-N143)/(P143-N143)</f>
        <v>-0.53864959254947609</v>
      </c>
      <c r="S143" s="23" t="str">
        <f>IF(H143 &lt; N143, "Below Market", IF(H143 &gt; P143, "Above Market", "At Market"))</f>
        <v>Below Market</v>
      </c>
      <c r="T143" s="22" t="str">
        <f>B143 &amp; "-" &amp; D143</f>
        <v>IT Analyst-2</v>
      </c>
      <c r="U143" s="41">
        <f>AVERAGEIFS(H:H, K:K, "Female", B:B, B143, D:D, D143)</f>
        <v>55600.230769230766</v>
      </c>
      <c r="V143" s="41">
        <f>AVERAGEIFS(H:H, K:K, "Male", B:B, B143, D:D, D143)</f>
        <v>58468.727272727272</v>
      </c>
      <c r="W143" s="27">
        <f>(V143-U143)/V143</f>
        <v>4.9060354779340579E-2</v>
      </c>
      <c r="X143" s="23" t="str">
        <f>IF(ABS(W143) &gt;= 0.1, "High Risk",
 IF(ABS(W143) &gt;= 0.05, "Moderate Risk",
 "Low Risk"))</f>
        <v>Low Risk</v>
      </c>
      <c r="Y143" t="str">
        <f>IF(J143&gt;=3,"Yes","No")</f>
        <v>Yes</v>
      </c>
      <c r="Z143">
        <f>IF(TRIM(S143)="Below Market",1,
 IF(TRIM(S143)="At Market",2,
 IF(TRIM(S143)="Above Market",3,0)))</f>
        <v>1</v>
      </c>
      <c r="AA143" s="26" cm="1">
        <f t="array" ref="AA143">IF($Y143&lt;&gt;"Yes",0,INDEX(Merit_Matrix!$B$2:$D$4,MATCH($J143,Merit_Matrix!$A$2:$A$4,0),Z143))</f>
        <v>3.5000000000000003E-2</v>
      </c>
      <c r="AB143" s="41">
        <f>H143*AA143</f>
        <v>1867.88</v>
      </c>
      <c r="AC143" s="41">
        <f>H143+AB143</f>
        <v>55235.88</v>
      </c>
      <c r="AD143" s="26">
        <f>AC143/O143</f>
        <v>0.53249667405764967</v>
      </c>
      <c r="AE14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44" spans="1:31" x14ac:dyDescent="0.3">
      <c r="A144">
        <v>1141</v>
      </c>
      <c r="B144" t="s">
        <v>23</v>
      </c>
      <c r="C144" t="s">
        <v>24</v>
      </c>
      <c r="D144">
        <v>4</v>
      </c>
      <c r="E144" t="s">
        <v>14</v>
      </c>
      <c r="F144" t="s">
        <v>24</v>
      </c>
      <c r="G144" t="s">
        <v>15</v>
      </c>
      <c r="H144" s="41">
        <v>91072</v>
      </c>
      <c r="I144" t="b">
        <v>1</v>
      </c>
      <c r="J144">
        <v>4</v>
      </c>
      <c r="K144" t="s">
        <v>19</v>
      </c>
      <c r="L144" s="1">
        <v>44788</v>
      </c>
      <c r="M144">
        <v>9</v>
      </c>
      <c r="N144" s="42">
        <f>VLOOKUP(B144,Market_Salary_Benchmarks!$A$1:$G$11,5,FALSE)</f>
        <v>82620</v>
      </c>
      <c r="O144" s="42">
        <f>VLOOKUP(B144,Market_Salary_Benchmarks!$A$1:$G$11,6,FALSE)</f>
        <v>110030</v>
      </c>
      <c r="P144" s="42">
        <f>VLOOKUP(B144,Market_Salary_Benchmarks!$A$1:$G$11,7,FALSE)</f>
        <v>146810</v>
      </c>
      <c r="Q144" s="26">
        <f>H144/O144</f>
        <v>0.82770153594474238</v>
      </c>
      <c r="R144" s="26">
        <f>(H144-N144)/(P144-N144)</f>
        <v>0.13167159993768499</v>
      </c>
      <c r="S144" s="23" t="str">
        <f>IF(H144 &lt; N144, "Below Market", IF(H144 &gt; P144, "Above Market", "At Market"))</f>
        <v>At Market</v>
      </c>
      <c r="T144" s="22" t="str">
        <f>B144 &amp; "-" &amp; D144</f>
        <v>HR Manager-4</v>
      </c>
      <c r="U144" s="41">
        <f>AVERAGEIFS(H:H, K:K, "Female", B:B, B144, D:D, D144)</f>
        <v>97910.769230769234</v>
      </c>
      <c r="V144" s="41">
        <f>AVERAGEIFS(H:H, K:K, "Male", B:B, B144, D:D, D144)</f>
        <v>96300.666666666672</v>
      </c>
      <c r="W144" s="27">
        <f>(V144-U144)/V144</f>
        <v>-1.6719537048229805E-2</v>
      </c>
      <c r="X144" s="23" t="str">
        <f>IF(ABS(W144) &gt;= 0.1, "High Risk",
 IF(ABS(W144) &gt;= 0.05, "Moderate Risk",
 "Low Risk"))</f>
        <v>Low Risk</v>
      </c>
      <c r="Y144" t="str">
        <f>IF(J144&gt;=3,"Yes","No")</f>
        <v>Yes</v>
      </c>
      <c r="Z144">
        <f>IF(TRIM(S144)="Below Market",1,
 IF(TRIM(S144)="At Market",2,
 IF(TRIM(S144)="Above Market",3,0)))</f>
        <v>2</v>
      </c>
      <c r="AA144" s="26" cm="1">
        <f t="array" ref="AA144">IF($Y144&lt;&gt;"Yes",0,INDEX(Merit_Matrix!$B$2:$D$4,MATCH($J144,Merit_Matrix!$A$2:$A$4,0),Z144))</f>
        <v>0.04</v>
      </c>
      <c r="AB144" s="41">
        <f>H144*AA144</f>
        <v>3642.88</v>
      </c>
      <c r="AC144" s="41">
        <f>H144+AB144</f>
        <v>94714.880000000005</v>
      </c>
      <c r="AD144" s="26">
        <f>AC144/O144</f>
        <v>0.86080959738253204</v>
      </c>
      <c r="AE14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45" spans="1:31" x14ac:dyDescent="0.3">
      <c r="A145">
        <v>1142</v>
      </c>
      <c r="B145" t="s">
        <v>27</v>
      </c>
      <c r="C145" t="s">
        <v>26</v>
      </c>
      <c r="D145">
        <v>4</v>
      </c>
      <c r="E145" t="s">
        <v>14</v>
      </c>
      <c r="F145" t="s">
        <v>26</v>
      </c>
      <c r="G145" t="s">
        <v>15</v>
      </c>
      <c r="H145" s="41">
        <v>97524</v>
      </c>
      <c r="I145" t="b">
        <v>1</v>
      </c>
      <c r="J145">
        <v>3</v>
      </c>
      <c r="K145" t="s">
        <v>16</v>
      </c>
      <c r="L145" s="1">
        <v>44730</v>
      </c>
      <c r="M145">
        <v>6</v>
      </c>
      <c r="N145" s="42">
        <f>VLOOKUP(B145,Market_Salary_Benchmarks!$A$1:$G$11,5,FALSE)</f>
        <v>105000</v>
      </c>
      <c r="O145" s="42">
        <f>VLOOKUP(B145,Market_Salary_Benchmarks!$A$1:$G$11,6,FALSE)</f>
        <v>138040</v>
      </c>
      <c r="P145" s="42">
        <f>VLOOKUP(B145,Market_Salary_Benchmarks!$A$1:$G$11,7,FALSE)</f>
        <v>179950</v>
      </c>
      <c r="Q145" s="26">
        <f>H145/O145</f>
        <v>0.7064908722109533</v>
      </c>
      <c r="R145" s="26">
        <f>(H145-N145)/(P145-N145)</f>
        <v>-9.9746497665110068E-2</v>
      </c>
      <c r="S145" s="23" t="str">
        <f>IF(H145 &lt; N145, "Below Market", IF(H145 &gt; P145, "Above Market", "At Market"))</f>
        <v>Below Market</v>
      </c>
      <c r="T145" s="22" t="str">
        <f>B145 &amp; "-" &amp; D145</f>
        <v>Senior Financial Analyst-4</v>
      </c>
      <c r="U145" s="41">
        <f>AVERAGEIFS(H:H, K:K, "Female", B:B, B145, D:D, D145)</f>
        <v>94329.75</v>
      </c>
      <c r="V145" s="41">
        <f>AVERAGEIFS(H:H, K:K, "Male", B:B, B145, D:D, D145)</f>
        <v>94897.166666666672</v>
      </c>
      <c r="W145" s="27">
        <f>(V145-U145)/V145</f>
        <v>5.9792793251643075E-3</v>
      </c>
      <c r="X145" s="23" t="str">
        <f>IF(ABS(W145) &gt;= 0.1, "High Risk",
 IF(ABS(W145) &gt;= 0.05, "Moderate Risk",
 "Low Risk"))</f>
        <v>Low Risk</v>
      </c>
      <c r="Y145" t="str">
        <f>IF(J145&gt;=3,"Yes","No")</f>
        <v>Yes</v>
      </c>
      <c r="Z145">
        <f>IF(TRIM(S145)="Below Market",1,
 IF(TRIM(S145)="At Market",2,
 IF(TRIM(S145)="Above Market",3,0)))</f>
        <v>1</v>
      </c>
      <c r="AA145" s="26" cm="1">
        <f t="array" ref="AA145">IF($Y145&lt;&gt;"Yes",0,INDEX(Merit_Matrix!$B$2:$D$4,MATCH($J145,Merit_Matrix!$A$2:$A$4,0),Z145))</f>
        <v>3.5000000000000003E-2</v>
      </c>
      <c r="AB145" s="41">
        <f>H145*AA145</f>
        <v>3413.34</v>
      </c>
      <c r="AC145" s="41">
        <f>H145+AB145</f>
        <v>100937.34</v>
      </c>
      <c r="AD145" s="26">
        <f>AC145/O145</f>
        <v>0.73121805273833673</v>
      </c>
      <c r="AE14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46" spans="1:31" x14ac:dyDescent="0.3">
      <c r="A146">
        <v>1143</v>
      </c>
      <c r="B146" t="s">
        <v>23</v>
      </c>
      <c r="C146" t="s">
        <v>24</v>
      </c>
      <c r="D146">
        <v>4</v>
      </c>
      <c r="E146" t="s">
        <v>14</v>
      </c>
      <c r="F146" t="s">
        <v>24</v>
      </c>
      <c r="G146" t="s">
        <v>15</v>
      </c>
      <c r="H146" s="41">
        <v>104920</v>
      </c>
      <c r="I146" t="b">
        <v>1</v>
      </c>
      <c r="J146">
        <v>4</v>
      </c>
      <c r="K146" t="s">
        <v>16</v>
      </c>
      <c r="L146" s="1">
        <v>42755</v>
      </c>
      <c r="M146">
        <v>8</v>
      </c>
      <c r="N146" s="42">
        <f>VLOOKUP(B146,Market_Salary_Benchmarks!$A$1:$G$11,5,FALSE)</f>
        <v>82620</v>
      </c>
      <c r="O146" s="42">
        <f>VLOOKUP(B146,Market_Salary_Benchmarks!$A$1:$G$11,6,FALSE)</f>
        <v>110030</v>
      </c>
      <c r="P146" s="42">
        <f>VLOOKUP(B146,Market_Salary_Benchmarks!$A$1:$G$11,7,FALSE)</f>
        <v>146810</v>
      </c>
      <c r="Q146" s="26">
        <f>H146/O146</f>
        <v>0.95355812051258748</v>
      </c>
      <c r="R146" s="26">
        <f>(H146-N146)/(P146-N146)</f>
        <v>0.34740613802773018</v>
      </c>
      <c r="S146" s="23" t="str">
        <f>IF(H146 &lt; N146, "Below Market", IF(H146 &gt; P146, "Above Market", "At Market"))</f>
        <v>At Market</v>
      </c>
      <c r="T146" s="22" t="str">
        <f>B146 &amp; "-" &amp; D146</f>
        <v>HR Manager-4</v>
      </c>
      <c r="U146" s="41">
        <f>AVERAGEIFS(H:H, K:K, "Female", B:B, B146, D:D, D146)</f>
        <v>97910.769230769234</v>
      </c>
      <c r="V146" s="41">
        <f>AVERAGEIFS(H:H, K:K, "Male", B:B, B146, D:D, D146)</f>
        <v>96300.666666666672</v>
      </c>
      <c r="W146" s="27">
        <f>(V146-U146)/V146</f>
        <v>-1.6719537048229805E-2</v>
      </c>
      <c r="X146" s="23" t="str">
        <f>IF(ABS(W146) &gt;= 0.1, "High Risk",
 IF(ABS(W146) &gt;= 0.05, "Moderate Risk",
 "Low Risk"))</f>
        <v>Low Risk</v>
      </c>
      <c r="Y146" t="str">
        <f>IF(J146&gt;=3,"Yes","No")</f>
        <v>Yes</v>
      </c>
      <c r="Z146">
        <f>IF(TRIM(S146)="Below Market",1,
 IF(TRIM(S146)="At Market",2,
 IF(TRIM(S146)="Above Market",3,0)))</f>
        <v>2</v>
      </c>
      <c r="AA146" s="26" cm="1">
        <f t="array" ref="AA146">IF($Y146&lt;&gt;"Yes",0,INDEX(Merit_Matrix!$B$2:$D$4,MATCH($J146,Merit_Matrix!$A$2:$A$4,0),Z146))</f>
        <v>0.04</v>
      </c>
      <c r="AB146" s="41">
        <f>H146*AA146</f>
        <v>4196.8</v>
      </c>
      <c r="AC146" s="41">
        <f>H146+AB146</f>
        <v>109116.8</v>
      </c>
      <c r="AD146" s="26">
        <f>AC146/O146</f>
        <v>0.99170044533309099</v>
      </c>
      <c r="AE14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47" spans="1:31" x14ac:dyDescent="0.3">
      <c r="A147">
        <v>1144</v>
      </c>
      <c r="B147" t="s">
        <v>28</v>
      </c>
      <c r="C147" t="s">
        <v>24</v>
      </c>
      <c r="D147">
        <v>3</v>
      </c>
      <c r="E147" t="s">
        <v>14</v>
      </c>
      <c r="F147" t="s">
        <v>24</v>
      </c>
      <c r="G147" t="s">
        <v>15</v>
      </c>
      <c r="H147" s="41">
        <v>78609</v>
      </c>
      <c r="I147" t="b">
        <v>1</v>
      </c>
      <c r="J147">
        <v>3</v>
      </c>
      <c r="K147" t="s">
        <v>19</v>
      </c>
      <c r="L147" s="1">
        <v>43245</v>
      </c>
      <c r="M147">
        <v>12</v>
      </c>
      <c r="N147" s="42">
        <f>VLOOKUP(B147,Market_Salary_Benchmarks!$A$1:$G$11,5,FALSE)</f>
        <v>50970</v>
      </c>
      <c r="O147" s="42">
        <f>VLOOKUP(B147,Market_Salary_Benchmarks!$A$1:$G$11,6,FALSE)</f>
        <v>56720</v>
      </c>
      <c r="P147" s="42">
        <f>VLOOKUP(B147,Market_Salary_Benchmarks!$A$1:$G$11,7,FALSE)</f>
        <v>75360</v>
      </c>
      <c r="Q147" s="26">
        <f>H147/O147</f>
        <v>1.3859132581100142</v>
      </c>
      <c r="R147" s="26">
        <f>(H147-N147)/(P147-N147)</f>
        <v>1.1332103321033211</v>
      </c>
      <c r="S147" s="23" t="str">
        <f>IF(H147 &lt; N147, "Below Market", IF(H147 &gt; P147, "Above Market", "At Market"))</f>
        <v>Above Market</v>
      </c>
      <c r="T147" s="22" t="str">
        <f>B147 &amp; "-" &amp; D147</f>
        <v>Compensation Analyst-3</v>
      </c>
      <c r="U147" s="41">
        <f>AVERAGEIFS(H:H, K:K, "Female", B:B, B147, D:D, D147)</f>
        <v>76621.166666666672</v>
      </c>
      <c r="V147" s="41">
        <f>AVERAGEIFS(H:H, K:K, "Male", B:B, B147, D:D, D147)</f>
        <v>77763.875</v>
      </c>
      <c r="W147" s="27">
        <f>(V147-U147)/V147</f>
        <v>1.4694590943845436E-2</v>
      </c>
      <c r="X147" s="23" t="str">
        <f>IF(ABS(W147) &gt;= 0.1, "High Risk",
 IF(ABS(W147) &gt;= 0.05, "Moderate Risk",
 "Low Risk"))</f>
        <v>Low Risk</v>
      </c>
      <c r="Y147" t="str">
        <f>IF(J147&gt;=3,"Yes","No")</f>
        <v>Yes</v>
      </c>
      <c r="Z147">
        <f>IF(TRIM(S147)="Below Market",1,
 IF(TRIM(S147)="At Market",2,
 IF(TRIM(S147)="Above Market",3,0)))</f>
        <v>3</v>
      </c>
      <c r="AA147" s="26" cm="1">
        <f t="array" ref="AA147">IF($Y147&lt;&gt;"Yes",0,INDEX(Merit_Matrix!$B$2:$D$4,MATCH($J147,Merit_Matrix!$A$2:$A$4,0),Z147))</f>
        <v>0.02</v>
      </c>
      <c r="AB147" s="41">
        <f>H147*AA147</f>
        <v>1572.18</v>
      </c>
      <c r="AC147" s="41">
        <f>H147+AB147</f>
        <v>80181.179999999993</v>
      </c>
      <c r="AD147" s="26">
        <f>AC147/O147</f>
        <v>1.4136315232722143</v>
      </c>
      <c r="AE147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48" spans="1:31" x14ac:dyDescent="0.3">
      <c r="A148">
        <v>1145</v>
      </c>
      <c r="B148" t="s">
        <v>30</v>
      </c>
      <c r="C148" t="s">
        <v>24</v>
      </c>
      <c r="D148">
        <v>2</v>
      </c>
      <c r="E148" t="s">
        <v>21</v>
      </c>
      <c r="F148" t="s">
        <v>24</v>
      </c>
      <c r="G148" t="s">
        <v>15</v>
      </c>
      <c r="H148" s="41">
        <v>51205</v>
      </c>
      <c r="I148" t="b">
        <v>0</v>
      </c>
      <c r="J148">
        <v>3</v>
      </c>
      <c r="K148" t="s">
        <v>16</v>
      </c>
      <c r="L148" s="1">
        <v>44249</v>
      </c>
      <c r="M148">
        <v>2</v>
      </c>
      <c r="N148" s="42">
        <f>VLOOKUP(B148,Market_Salary_Benchmarks!$A$1:$G$11,5,FALSE)</f>
        <v>37930</v>
      </c>
      <c r="O148" s="42">
        <f>VLOOKUP(B148,Market_Salary_Benchmarks!$A$1:$G$11,6,FALSE)</f>
        <v>45470</v>
      </c>
      <c r="P148" s="42">
        <f>VLOOKUP(B148,Market_Salary_Benchmarks!$A$1:$G$11,7,FALSE)</f>
        <v>54160</v>
      </c>
      <c r="Q148" s="26">
        <f>H148/O148</f>
        <v>1.1261271167802946</v>
      </c>
      <c r="R148" s="26">
        <f>(H148-N148)/(P148-N148)</f>
        <v>0.81792975970425141</v>
      </c>
      <c r="S148" s="23" t="str">
        <f>IF(H148 &lt; N148, "Below Market", IF(H148 &gt; P148, "Above Market", "At Market"))</f>
        <v>At Market</v>
      </c>
      <c r="T148" s="22" t="str">
        <f>B148 &amp; "-" &amp; D148</f>
        <v>Payroll Specialist-2</v>
      </c>
      <c r="U148" s="41">
        <f>AVERAGEIFS(H:H, K:K, "Female", B:B, B148, D:D, D148)</f>
        <v>58334.555555555555</v>
      </c>
      <c r="V148" s="41">
        <f>AVERAGEIFS(H:H, K:K, "Male", B:B, B148, D:D, D148)</f>
        <v>56264.5</v>
      </c>
      <c r="W148" s="27">
        <f>(V148-U148)/V148</f>
        <v>-3.6791503622276123E-2</v>
      </c>
      <c r="X148" s="23" t="str">
        <f>IF(ABS(W148) &gt;= 0.1, "High Risk",
 IF(ABS(W148) &gt;= 0.05, "Moderate Risk",
 "Low Risk"))</f>
        <v>Low Risk</v>
      </c>
      <c r="Y148" t="str">
        <f>IF(J148&gt;=3,"Yes","No")</f>
        <v>Yes</v>
      </c>
      <c r="Z148">
        <f>IF(TRIM(S148)="Below Market",1,
 IF(TRIM(S148)="At Market",2,
 IF(TRIM(S148)="Above Market",3,0)))</f>
        <v>2</v>
      </c>
      <c r="AA148" s="26" cm="1">
        <f t="array" ref="AA148">IF($Y148&lt;&gt;"Yes",0,INDEX(Merit_Matrix!$B$2:$D$4,MATCH($J148,Merit_Matrix!$A$2:$A$4,0),Z148))</f>
        <v>0.03</v>
      </c>
      <c r="AB148" s="41">
        <f>H148*AA148</f>
        <v>1536.1499999999999</v>
      </c>
      <c r="AC148" s="41">
        <f>H148+AB148</f>
        <v>52741.15</v>
      </c>
      <c r="AD148" s="26">
        <f>AC148/O148</f>
        <v>1.1599109302837036</v>
      </c>
      <c r="AE14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49" spans="1:31" x14ac:dyDescent="0.3">
      <c r="A149">
        <v>1146</v>
      </c>
      <c r="B149" t="s">
        <v>29</v>
      </c>
      <c r="C149" t="s">
        <v>24</v>
      </c>
      <c r="D149">
        <v>2</v>
      </c>
      <c r="E149" t="s">
        <v>14</v>
      </c>
      <c r="F149" t="s">
        <v>24</v>
      </c>
      <c r="G149" t="s">
        <v>15</v>
      </c>
      <c r="H149" s="41">
        <v>54380</v>
      </c>
      <c r="I149" t="b">
        <v>0</v>
      </c>
      <c r="J149">
        <v>3</v>
      </c>
      <c r="K149" t="s">
        <v>16</v>
      </c>
      <c r="L149" s="1">
        <v>43862</v>
      </c>
      <c r="M149">
        <v>2</v>
      </c>
      <c r="N149" s="42">
        <f>VLOOKUP(B149,Market_Salary_Benchmarks!$A$1:$G$11,5,FALSE)</f>
        <v>48890</v>
      </c>
      <c r="O149" s="42">
        <f>VLOOKUP(B149,Market_Salary_Benchmarks!$A$1:$G$11,6,FALSE)</f>
        <v>62770</v>
      </c>
      <c r="P149" s="42">
        <f>VLOOKUP(B149,Market_Salary_Benchmarks!$A$1:$G$11,7,FALSE)</f>
        <v>82990</v>
      </c>
      <c r="Q149" s="26">
        <f>H149/O149</f>
        <v>0.86633742233551059</v>
      </c>
      <c r="R149" s="26">
        <f>(H149-N149)/(P149-N149)</f>
        <v>0.16099706744868036</v>
      </c>
      <c r="S149" s="23" t="str">
        <f>IF(H149 &lt; N149, "Below Market", IF(H149 &gt; P149, "Above Market", "At Market"))</f>
        <v>At Market</v>
      </c>
      <c r="T149" s="22" t="str">
        <f>B149 &amp; "-" &amp; D149</f>
        <v>HR Analyst-2</v>
      </c>
      <c r="U149" s="41">
        <f>AVERAGEIFS(H:H, K:K, "Female", B:B, B149, D:D, D149)</f>
        <v>56635.5</v>
      </c>
      <c r="V149" s="41">
        <f>AVERAGEIFS(H:H, K:K, "Male", B:B, B149, D:D, D149)</f>
        <v>59544.4</v>
      </c>
      <c r="W149" s="27">
        <f>(V149-U149)/V149</f>
        <v>4.8852620901377819E-2</v>
      </c>
      <c r="X149" s="23" t="str">
        <f>IF(ABS(W149) &gt;= 0.1, "High Risk",
 IF(ABS(W149) &gt;= 0.05, "Moderate Risk",
 "Low Risk"))</f>
        <v>Low Risk</v>
      </c>
      <c r="Y149" t="str">
        <f>IF(J149&gt;=3,"Yes","No")</f>
        <v>Yes</v>
      </c>
      <c r="Z149">
        <f>IF(TRIM(S149)="Below Market",1,
 IF(TRIM(S149)="At Market",2,
 IF(TRIM(S149)="Above Market",3,0)))</f>
        <v>2</v>
      </c>
      <c r="AA149" s="26" cm="1">
        <f t="array" ref="AA149">IF($Y149&lt;&gt;"Yes",0,INDEX(Merit_Matrix!$B$2:$D$4,MATCH($J149,Merit_Matrix!$A$2:$A$4,0),Z149))</f>
        <v>0.03</v>
      </c>
      <c r="AB149" s="41">
        <f>H149*AA149</f>
        <v>1631.3999999999999</v>
      </c>
      <c r="AC149" s="41">
        <f>H149+AB149</f>
        <v>56011.4</v>
      </c>
      <c r="AD149" s="26">
        <f>AC149/O149</f>
        <v>0.89232754500557598</v>
      </c>
      <c r="AE14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50" spans="1:31" x14ac:dyDescent="0.3">
      <c r="A150">
        <v>1147</v>
      </c>
      <c r="B150" t="s">
        <v>12</v>
      </c>
      <c r="C150" t="s">
        <v>13</v>
      </c>
      <c r="D150">
        <v>4</v>
      </c>
      <c r="E150" t="s">
        <v>14</v>
      </c>
      <c r="F150" t="s">
        <v>13</v>
      </c>
      <c r="G150" t="s">
        <v>15</v>
      </c>
      <c r="H150" s="41">
        <v>92243</v>
      </c>
      <c r="I150" t="b">
        <v>1</v>
      </c>
      <c r="J150">
        <v>3</v>
      </c>
      <c r="K150" t="s">
        <v>16</v>
      </c>
      <c r="L150" s="1">
        <v>43456</v>
      </c>
      <c r="M150">
        <v>14</v>
      </c>
      <c r="N150" s="42">
        <f>VLOOKUP(B150,Market_Salary_Benchmarks!$A$1:$G$11,5,FALSE)</f>
        <v>74720</v>
      </c>
      <c r="O150" s="42">
        <f>VLOOKUP(B150,Market_Salary_Benchmarks!$A$1:$G$11,6,FALSE)</f>
        <v>106330</v>
      </c>
      <c r="P150" s="42">
        <f>VLOOKUP(B150,Market_Salary_Benchmarks!$A$1:$G$11,7,FALSE)</f>
        <v>162780</v>
      </c>
      <c r="Q150" s="26">
        <f>H150/O150</f>
        <v>0.86751622307909337</v>
      </c>
      <c r="R150" s="26">
        <f>(H150-N150)/(P150-N150)</f>
        <v>0.19898932545991369</v>
      </c>
      <c r="S150" s="23" t="str">
        <f>IF(H150 &lt; N150, "Below Market", IF(H150 &gt; P150, "Above Market", "At Market"))</f>
        <v>At Market</v>
      </c>
      <c r="T150" s="22" t="str">
        <f>B150 &amp; "-" &amp; D150</f>
        <v>Operations Manager-4</v>
      </c>
      <c r="U150" s="41">
        <f>AVERAGEIFS(H:H, K:K, "Female", B:B, B150, D:D, D150)</f>
        <v>96094.111111111109</v>
      </c>
      <c r="V150" s="41">
        <f>AVERAGEIFS(H:H, K:K, "Male", B:B, B150, D:D, D150)</f>
        <v>95248.28571428571</v>
      </c>
      <c r="W150" s="27">
        <f>(V150-U150)/V150</f>
        <v>-8.8802164835029597E-3</v>
      </c>
      <c r="X150" s="23" t="str">
        <f>IF(ABS(W150) &gt;= 0.1, "High Risk",
 IF(ABS(W150) &gt;= 0.05, "Moderate Risk",
 "Low Risk"))</f>
        <v>Low Risk</v>
      </c>
      <c r="Y150" t="str">
        <f>IF(J150&gt;=3,"Yes","No")</f>
        <v>Yes</v>
      </c>
      <c r="Z150">
        <f>IF(TRIM(S150)="Below Market",1,
 IF(TRIM(S150)="At Market",2,
 IF(TRIM(S150)="Above Market",3,0)))</f>
        <v>2</v>
      </c>
      <c r="AA150" s="26" cm="1">
        <f t="array" ref="AA150">IF($Y150&lt;&gt;"Yes",0,INDEX(Merit_Matrix!$B$2:$D$4,MATCH($J150,Merit_Matrix!$A$2:$A$4,0),Z150))</f>
        <v>0.03</v>
      </c>
      <c r="AB150" s="41">
        <f>H150*AA150</f>
        <v>2767.29</v>
      </c>
      <c r="AC150" s="41">
        <f>H150+AB150</f>
        <v>95010.29</v>
      </c>
      <c r="AD150" s="26">
        <f>AC150/O150</f>
        <v>0.89354170977146608</v>
      </c>
      <c r="AE15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51" spans="1:31" x14ac:dyDescent="0.3">
      <c r="A151">
        <v>1148</v>
      </c>
      <c r="B151" t="s">
        <v>17</v>
      </c>
      <c r="C151" t="s">
        <v>18</v>
      </c>
      <c r="D151">
        <v>2</v>
      </c>
      <c r="E151" t="s">
        <v>14</v>
      </c>
      <c r="F151" t="s">
        <v>18</v>
      </c>
      <c r="G151" t="s">
        <v>15</v>
      </c>
      <c r="H151" s="41">
        <v>56704</v>
      </c>
      <c r="I151" t="b">
        <v>0</v>
      </c>
      <c r="J151">
        <v>3</v>
      </c>
      <c r="K151" t="s">
        <v>16</v>
      </c>
      <c r="L151" s="1">
        <v>44632</v>
      </c>
      <c r="M151">
        <v>4</v>
      </c>
      <c r="N151" s="42">
        <f>VLOOKUP(B151,Market_Salary_Benchmarks!$A$1:$G$11,5,FALSE)</f>
        <v>81130</v>
      </c>
      <c r="O151" s="42">
        <f>VLOOKUP(B151,Market_Salary_Benchmarks!$A$1:$G$11,6,FALSE)</f>
        <v>103730</v>
      </c>
      <c r="P151" s="42">
        <f>VLOOKUP(B151,Market_Salary_Benchmarks!$A$1:$G$11,7,FALSE)</f>
        <v>132670</v>
      </c>
      <c r="Q151" s="26">
        <f>H151/O151</f>
        <v>0.54664995661814331</v>
      </c>
      <c r="R151" s="26">
        <f>(H151-N151)/(P151-N151)</f>
        <v>-0.4739231664726426</v>
      </c>
      <c r="S151" s="23" t="str">
        <f>IF(H151 &lt; N151, "Below Market", IF(H151 &gt; P151, "Above Market", "At Market"))</f>
        <v>Below Market</v>
      </c>
      <c r="T151" s="22" t="str">
        <f>B151 &amp; "-" &amp; D151</f>
        <v>IT Analyst-2</v>
      </c>
      <c r="U151" s="41">
        <f>AVERAGEIFS(H:H, K:K, "Female", B:B, B151, D:D, D151)</f>
        <v>55600.230769230766</v>
      </c>
      <c r="V151" s="41">
        <f>AVERAGEIFS(H:H, K:K, "Male", B:B, B151, D:D, D151)</f>
        <v>58468.727272727272</v>
      </c>
      <c r="W151" s="27">
        <f>(V151-U151)/V151</f>
        <v>4.9060354779340579E-2</v>
      </c>
      <c r="X151" s="23" t="str">
        <f>IF(ABS(W151) &gt;= 0.1, "High Risk",
 IF(ABS(W151) &gt;= 0.05, "Moderate Risk",
 "Low Risk"))</f>
        <v>Low Risk</v>
      </c>
      <c r="Y151" t="str">
        <f>IF(J151&gt;=3,"Yes","No")</f>
        <v>Yes</v>
      </c>
      <c r="Z151">
        <f>IF(TRIM(S151)="Below Market",1,
 IF(TRIM(S151)="At Market",2,
 IF(TRIM(S151)="Above Market",3,0)))</f>
        <v>1</v>
      </c>
      <c r="AA151" s="26" cm="1">
        <f t="array" ref="AA151">IF($Y151&lt;&gt;"Yes",0,INDEX(Merit_Matrix!$B$2:$D$4,MATCH($J151,Merit_Matrix!$A$2:$A$4,0),Z151))</f>
        <v>3.5000000000000003E-2</v>
      </c>
      <c r="AB151" s="41">
        <f>H151*AA151</f>
        <v>1984.64</v>
      </c>
      <c r="AC151" s="41">
        <f>H151+AB151</f>
        <v>58688.639999999999</v>
      </c>
      <c r="AD151" s="26">
        <f>AC151/O151</f>
        <v>0.56578270509977824</v>
      </c>
      <c r="AE15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52" spans="1:31" x14ac:dyDescent="0.3">
      <c r="A152">
        <v>1149</v>
      </c>
      <c r="B152" t="s">
        <v>17</v>
      </c>
      <c r="C152" t="s">
        <v>18</v>
      </c>
      <c r="D152">
        <v>2</v>
      </c>
      <c r="E152" t="s">
        <v>14</v>
      </c>
      <c r="F152" t="s">
        <v>18</v>
      </c>
      <c r="G152" t="s">
        <v>15</v>
      </c>
      <c r="H152" s="41">
        <v>58914</v>
      </c>
      <c r="I152" t="b">
        <v>0</v>
      </c>
      <c r="J152">
        <v>3</v>
      </c>
      <c r="K152" t="s">
        <v>19</v>
      </c>
      <c r="L152" s="1">
        <v>42798</v>
      </c>
      <c r="M152">
        <v>14</v>
      </c>
      <c r="N152" s="42">
        <f>VLOOKUP(B152,Market_Salary_Benchmarks!$A$1:$G$11,5,FALSE)</f>
        <v>81130</v>
      </c>
      <c r="O152" s="42">
        <f>VLOOKUP(B152,Market_Salary_Benchmarks!$A$1:$G$11,6,FALSE)</f>
        <v>103730</v>
      </c>
      <c r="P152" s="42">
        <f>VLOOKUP(B152,Market_Salary_Benchmarks!$A$1:$G$11,7,FALSE)</f>
        <v>132670</v>
      </c>
      <c r="Q152" s="26">
        <f>H152/O152</f>
        <v>0.56795526848549116</v>
      </c>
      <c r="R152" s="26">
        <f>(H152-N152)/(P152-N152)</f>
        <v>-0.43104384943733021</v>
      </c>
      <c r="S152" s="23" t="str">
        <f>IF(H152 &lt; N152, "Below Market", IF(H152 &gt; P152, "Above Market", "At Market"))</f>
        <v>Below Market</v>
      </c>
      <c r="T152" s="22" t="str">
        <f>B152 &amp; "-" &amp; D152</f>
        <v>IT Analyst-2</v>
      </c>
      <c r="U152" s="41">
        <f>AVERAGEIFS(H:H, K:K, "Female", B:B, B152, D:D, D152)</f>
        <v>55600.230769230766</v>
      </c>
      <c r="V152" s="41">
        <f>AVERAGEIFS(H:H, K:K, "Male", B:B, B152, D:D, D152)</f>
        <v>58468.727272727272</v>
      </c>
      <c r="W152" s="27">
        <f>(V152-U152)/V152</f>
        <v>4.9060354779340579E-2</v>
      </c>
      <c r="X152" s="23" t="str">
        <f>IF(ABS(W152) &gt;= 0.1, "High Risk",
 IF(ABS(W152) &gt;= 0.05, "Moderate Risk",
 "Low Risk"))</f>
        <v>Low Risk</v>
      </c>
      <c r="Y152" t="str">
        <f>IF(J152&gt;=3,"Yes","No")</f>
        <v>Yes</v>
      </c>
      <c r="Z152">
        <f>IF(TRIM(S152)="Below Market",1,
 IF(TRIM(S152)="At Market",2,
 IF(TRIM(S152)="Above Market",3,0)))</f>
        <v>1</v>
      </c>
      <c r="AA152" s="26" cm="1">
        <f t="array" ref="AA152">IF($Y152&lt;&gt;"Yes",0,INDEX(Merit_Matrix!$B$2:$D$4,MATCH($J152,Merit_Matrix!$A$2:$A$4,0),Z152))</f>
        <v>3.5000000000000003E-2</v>
      </c>
      <c r="AB152" s="41">
        <f>H152*AA152</f>
        <v>2061.9900000000002</v>
      </c>
      <c r="AC152" s="41">
        <f>H152+AB152</f>
        <v>60975.99</v>
      </c>
      <c r="AD152" s="26">
        <f>AC152/O152</f>
        <v>0.58783370288248338</v>
      </c>
      <c r="AE152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53" spans="1:31" x14ac:dyDescent="0.3">
      <c r="A153">
        <v>1150</v>
      </c>
      <c r="B153" t="s">
        <v>17</v>
      </c>
      <c r="C153" t="s">
        <v>18</v>
      </c>
      <c r="D153">
        <v>2</v>
      </c>
      <c r="E153" t="s">
        <v>14</v>
      </c>
      <c r="F153" t="s">
        <v>18</v>
      </c>
      <c r="G153" t="s">
        <v>15</v>
      </c>
      <c r="H153" s="41">
        <v>57186</v>
      </c>
      <c r="I153" t="b">
        <v>0</v>
      </c>
      <c r="J153">
        <v>4</v>
      </c>
      <c r="K153" t="s">
        <v>19</v>
      </c>
      <c r="L153" s="1">
        <v>42563</v>
      </c>
      <c r="M153">
        <v>7</v>
      </c>
      <c r="N153" s="42">
        <f>VLOOKUP(B153,Market_Salary_Benchmarks!$A$1:$G$11,5,FALSE)</f>
        <v>81130</v>
      </c>
      <c r="O153" s="42">
        <f>VLOOKUP(B153,Market_Salary_Benchmarks!$A$1:$G$11,6,FALSE)</f>
        <v>103730</v>
      </c>
      <c r="P153" s="42">
        <f>VLOOKUP(B153,Market_Salary_Benchmarks!$A$1:$G$11,7,FALSE)</f>
        <v>132670</v>
      </c>
      <c r="Q153" s="26">
        <f>H153/O153</f>
        <v>0.55129663549599928</v>
      </c>
      <c r="R153" s="26">
        <f>(H153-N153)/(P153-N153)</f>
        <v>-0.46457120682964687</v>
      </c>
      <c r="S153" s="23" t="str">
        <f>IF(H153 &lt; N153, "Below Market", IF(H153 &gt; P153, "Above Market", "At Market"))</f>
        <v>Below Market</v>
      </c>
      <c r="T153" s="22" t="str">
        <f>B153 &amp; "-" &amp; D153</f>
        <v>IT Analyst-2</v>
      </c>
      <c r="U153" s="41">
        <f>AVERAGEIFS(H:H, K:K, "Female", B:B, B153, D:D, D153)</f>
        <v>55600.230769230766</v>
      </c>
      <c r="V153" s="41">
        <f>AVERAGEIFS(H:H, K:K, "Male", B:B, B153, D:D, D153)</f>
        <v>58468.727272727272</v>
      </c>
      <c r="W153" s="27">
        <f>(V153-U153)/V153</f>
        <v>4.9060354779340579E-2</v>
      </c>
      <c r="X153" s="23" t="str">
        <f>IF(ABS(W153) &gt;= 0.1, "High Risk",
 IF(ABS(W153) &gt;= 0.05, "Moderate Risk",
 "Low Risk"))</f>
        <v>Low Risk</v>
      </c>
      <c r="Y153" t="str">
        <f>IF(J153&gt;=3,"Yes","No")</f>
        <v>Yes</v>
      </c>
      <c r="Z153">
        <f>IF(TRIM(S153)="Below Market",1,
 IF(TRIM(S153)="At Market",2,
 IF(TRIM(S153)="Above Market",3,0)))</f>
        <v>1</v>
      </c>
      <c r="AA153" s="26" cm="1">
        <f t="array" ref="AA153">IF($Y153&lt;&gt;"Yes",0,INDEX(Merit_Matrix!$B$2:$D$4,MATCH($J153,Merit_Matrix!$A$2:$A$4,0),Z153))</f>
        <v>0.05</v>
      </c>
      <c r="AB153" s="41">
        <f>H153*AA153</f>
        <v>2859.3</v>
      </c>
      <c r="AC153" s="41">
        <f>H153+AB153</f>
        <v>60045.3</v>
      </c>
      <c r="AD153" s="26">
        <f>AC153/O153</f>
        <v>0.57886146727079923</v>
      </c>
      <c r="AE15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54" spans="1:31" x14ac:dyDescent="0.3">
      <c r="A154">
        <v>1151</v>
      </c>
      <c r="B154" t="s">
        <v>29</v>
      </c>
      <c r="C154" t="s">
        <v>24</v>
      </c>
      <c r="D154">
        <v>2</v>
      </c>
      <c r="E154" t="s">
        <v>14</v>
      </c>
      <c r="F154" t="s">
        <v>24</v>
      </c>
      <c r="G154" t="s">
        <v>15</v>
      </c>
      <c r="H154" s="41">
        <v>60353</v>
      </c>
      <c r="I154" t="b">
        <v>0</v>
      </c>
      <c r="J154">
        <v>4</v>
      </c>
      <c r="K154" t="s">
        <v>16</v>
      </c>
      <c r="L154" s="1">
        <v>44290</v>
      </c>
      <c r="M154">
        <v>9</v>
      </c>
      <c r="N154" s="42">
        <f>VLOOKUP(B154,Market_Salary_Benchmarks!$A$1:$G$11,5,FALSE)</f>
        <v>48890</v>
      </c>
      <c r="O154" s="42">
        <f>VLOOKUP(B154,Market_Salary_Benchmarks!$A$1:$G$11,6,FALSE)</f>
        <v>62770</v>
      </c>
      <c r="P154" s="42">
        <f>VLOOKUP(B154,Market_Salary_Benchmarks!$A$1:$G$11,7,FALSE)</f>
        <v>82990</v>
      </c>
      <c r="Q154" s="26">
        <f>H154/O154</f>
        <v>0.9614943444320535</v>
      </c>
      <c r="R154" s="26">
        <f>(H154-N154)/(P154-N154)</f>
        <v>0.33615835777126102</v>
      </c>
      <c r="S154" s="23" t="str">
        <f>IF(H154 &lt; N154, "Below Market", IF(H154 &gt; P154, "Above Market", "At Market"))</f>
        <v>At Market</v>
      </c>
      <c r="T154" s="22" t="str">
        <f>B154 &amp; "-" &amp; D154</f>
        <v>HR Analyst-2</v>
      </c>
      <c r="U154" s="41">
        <f>AVERAGEIFS(H:H, K:K, "Female", B:B, B154, D:D, D154)</f>
        <v>56635.5</v>
      </c>
      <c r="V154" s="41">
        <f>AVERAGEIFS(H:H, K:K, "Male", B:B, B154, D:D, D154)</f>
        <v>59544.4</v>
      </c>
      <c r="W154" s="27">
        <f>(V154-U154)/V154</f>
        <v>4.8852620901377819E-2</v>
      </c>
      <c r="X154" s="23" t="str">
        <f>IF(ABS(W154) &gt;= 0.1, "High Risk",
 IF(ABS(W154) &gt;= 0.05, "Moderate Risk",
 "Low Risk"))</f>
        <v>Low Risk</v>
      </c>
      <c r="Y154" t="str">
        <f>IF(J154&gt;=3,"Yes","No")</f>
        <v>Yes</v>
      </c>
      <c r="Z154">
        <f>IF(TRIM(S154)="Below Market",1,
 IF(TRIM(S154)="At Market",2,
 IF(TRIM(S154)="Above Market",3,0)))</f>
        <v>2</v>
      </c>
      <c r="AA154" s="26" cm="1">
        <f t="array" ref="AA154">IF($Y154&lt;&gt;"Yes",0,INDEX(Merit_Matrix!$B$2:$D$4,MATCH($J154,Merit_Matrix!$A$2:$A$4,0),Z154))</f>
        <v>0.04</v>
      </c>
      <c r="AB154" s="41">
        <f>H154*AA154</f>
        <v>2414.12</v>
      </c>
      <c r="AC154" s="41">
        <f>H154+AB154</f>
        <v>62767.12</v>
      </c>
      <c r="AD154" s="26">
        <f>AC154/O154</f>
        <v>0.99995411820933566</v>
      </c>
      <c r="AE15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55" spans="1:31" x14ac:dyDescent="0.3">
      <c r="A155">
        <v>1152</v>
      </c>
      <c r="B155" t="s">
        <v>12</v>
      </c>
      <c r="C155" t="s">
        <v>13</v>
      </c>
      <c r="D155">
        <v>4</v>
      </c>
      <c r="E155" t="s">
        <v>14</v>
      </c>
      <c r="F155" t="s">
        <v>13</v>
      </c>
      <c r="G155" t="s">
        <v>15</v>
      </c>
      <c r="H155" s="41">
        <v>92873</v>
      </c>
      <c r="I155" t="b">
        <v>1</v>
      </c>
      <c r="J155">
        <v>3</v>
      </c>
      <c r="K155" t="s">
        <v>16</v>
      </c>
      <c r="L155" s="1">
        <v>44579</v>
      </c>
      <c r="M155">
        <v>13</v>
      </c>
      <c r="N155" s="42">
        <f>VLOOKUP(B155,Market_Salary_Benchmarks!$A$1:$G$11,5,FALSE)</f>
        <v>74720</v>
      </c>
      <c r="O155" s="42">
        <f>VLOOKUP(B155,Market_Salary_Benchmarks!$A$1:$G$11,6,FALSE)</f>
        <v>106330</v>
      </c>
      <c r="P155" s="42">
        <f>VLOOKUP(B155,Market_Salary_Benchmarks!$A$1:$G$11,7,FALSE)</f>
        <v>162780</v>
      </c>
      <c r="Q155" s="26">
        <f>H155/O155</f>
        <v>0.8734411737045048</v>
      </c>
      <c r="R155" s="26">
        <f>(H155-N155)/(P155-N155)</f>
        <v>0.20614353849647968</v>
      </c>
      <c r="S155" s="23" t="str">
        <f>IF(H155 &lt; N155, "Below Market", IF(H155 &gt; P155, "Above Market", "At Market"))</f>
        <v>At Market</v>
      </c>
      <c r="T155" s="22" t="str">
        <f>B155 &amp; "-" &amp; D155</f>
        <v>Operations Manager-4</v>
      </c>
      <c r="U155" s="41">
        <f>AVERAGEIFS(H:H, K:K, "Female", B:B, B155, D:D, D155)</f>
        <v>96094.111111111109</v>
      </c>
      <c r="V155" s="41">
        <f>AVERAGEIFS(H:H, K:K, "Male", B:B, B155, D:D, D155)</f>
        <v>95248.28571428571</v>
      </c>
      <c r="W155" s="27">
        <f>(V155-U155)/V155</f>
        <v>-8.8802164835029597E-3</v>
      </c>
      <c r="X155" s="23" t="str">
        <f>IF(ABS(W155) &gt;= 0.1, "High Risk",
 IF(ABS(W155) &gt;= 0.05, "Moderate Risk",
 "Low Risk"))</f>
        <v>Low Risk</v>
      </c>
      <c r="Y155" t="str">
        <f>IF(J155&gt;=3,"Yes","No")</f>
        <v>Yes</v>
      </c>
      <c r="Z155">
        <f>IF(TRIM(S155)="Below Market",1,
 IF(TRIM(S155)="At Market",2,
 IF(TRIM(S155)="Above Market",3,0)))</f>
        <v>2</v>
      </c>
      <c r="AA155" s="26" cm="1">
        <f t="array" ref="AA155">IF($Y155&lt;&gt;"Yes",0,INDEX(Merit_Matrix!$B$2:$D$4,MATCH($J155,Merit_Matrix!$A$2:$A$4,0),Z155))</f>
        <v>0.03</v>
      </c>
      <c r="AB155" s="41">
        <f>H155*AA155</f>
        <v>2786.19</v>
      </c>
      <c r="AC155" s="41">
        <f>H155+AB155</f>
        <v>95659.19</v>
      </c>
      <c r="AD155" s="26">
        <f>AC155/O155</f>
        <v>0.89964440891564001</v>
      </c>
      <c r="AE15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56" spans="1:31" x14ac:dyDescent="0.3">
      <c r="A156">
        <v>1153</v>
      </c>
      <c r="B156" t="s">
        <v>29</v>
      </c>
      <c r="C156" t="s">
        <v>24</v>
      </c>
      <c r="D156">
        <v>2</v>
      </c>
      <c r="E156" t="s">
        <v>14</v>
      </c>
      <c r="F156" t="s">
        <v>24</v>
      </c>
      <c r="G156" t="s">
        <v>15</v>
      </c>
      <c r="H156" s="41">
        <v>64422</v>
      </c>
      <c r="I156" t="b">
        <v>0</v>
      </c>
      <c r="J156">
        <v>4</v>
      </c>
      <c r="K156" t="s">
        <v>19</v>
      </c>
      <c r="L156" s="1">
        <v>43202</v>
      </c>
      <c r="M156">
        <v>10</v>
      </c>
      <c r="N156" s="42">
        <f>VLOOKUP(B156,Market_Salary_Benchmarks!$A$1:$G$11,5,FALSE)</f>
        <v>48890</v>
      </c>
      <c r="O156" s="42">
        <f>VLOOKUP(B156,Market_Salary_Benchmarks!$A$1:$G$11,6,FALSE)</f>
        <v>62770</v>
      </c>
      <c r="P156" s="42">
        <f>VLOOKUP(B156,Market_Salary_Benchmarks!$A$1:$G$11,7,FALSE)</f>
        <v>82990</v>
      </c>
      <c r="Q156" s="26">
        <f>H156/O156</f>
        <v>1.0263183049227338</v>
      </c>
      <c r="R156" s="26">
        <f>(H156-N156)/(P156-N156)</f>
        <v>0.45548387096774196</v>
      </c>
      <c r="S156" s="23" t="str">
        <f>IF(H156 &lt; N156, "Below Market", IF(H156 &gt; P156, "Above Market", "At Market"))</f>
        <v>At Market</v>
      </c>
      <c r="T156" s="22" t="str">
        <f>B156 &amp; "-" &amp; D156</f>
        <v>HR Analyst-2</v>
      </c>
      <c r="U156" s="41">
        <f>AVERAGEIFS(H:H, K:K, "Female", B:B, B156, D:D, D156)</f>
        <v>56635.5</v>
      </c>
      <c r="V156" s="41">
        <f>AVERAGEIFS(H:H, K:K, "Male", B:B, B156, D:D, D156)</f>
        <v>59544.4</v>
      </c>
      <c r="W156" s="27">
        <f>(V156-U156)/V156</f>
        <v>4.8852620901377819E-2</v>
      </c>
      <c r="X156" s="23" t="str">
        <f>IF(ABS(W156) &gt;= 0.1, "High Risk",
 IF(ABS(W156) &gt;= 0.05, "Moderate Risk",
 "Low Risk"))</f>
        <v>Low Risk</v>
      </c>
      <c r="Y156" t="str">
        <f>IF(J156&gt;=3,"Yes","No")</f>
        <v>Yes</v>
      </c>
      <c r="Z156">
        <f>IF(TRIM(S156)="Below Market",1,
 IF(TRIM(S156)="At Market",2,
 IF(TRIM(S156)="Above Market",3,0)))</f>
        <v>2</v>
      </c>
      <c r="AA156" s="26" cm="1">
        <f t="array" ref="AA156">IF($Y156&lt;&gt;"Yes",0,INDEX(Merit_Matrix!$B$2:$D$4,MATCH($J156,Merit_Matrix!$A$2:$A$4,0),Z156))</f>
        <v>0.04</v>
      </c>
      <c r="AB156" s="41">
        <f>H156*AA156</f>
        <v>2576.88</v>
      </c>
      <c r="AC156" s="41">
        <f>H156+AB156</f>
        <v>66998.880000000005</v>
      </c>
      <c r="AD156" s="26">
        <f>AC156/O156</f>
        <v>1.0673710371196432</v>
      </c>
      <c r="AE15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57" spans="1:31" x14ac:dyDescent="0.3">
      <c r="A157">
        <v>1154</v>
      </c>
      <c r="B157" t="s">
        <v>12</v>
      </c>
      <c r="C157" t="s">
        <v>13</v>
      </c>
      <c r="D157">
        <v>4</v>
      </c>
      <c r="E157" t="s">
        <v>14</v>
      </c>
      <c r="F157" t="s">
        <v>13</v>
      </c>
      <c r="G157" t="s">
        <v>15</v>
      </c>
      <c r="H157" s="41">
        <v>98682</v>
      </c>
      <c r="I157" t="b">
        <v>1</v>
      </c>
      <c r="J157">
        <v>3</v>
      </c>
      <c r="K157" t="s">
        <v>16</v>
      </c>
      <c r="L157" s="1">
        <v>45178</v>
      </c>
      <c r="M157">
        <v>6</v>
      </c>
      <c r="N157" s="42">
        <f>VLOOKUP(B157,Market_Salary_Benchmarks!$A$1:$G$11,5,FALSE)</f>
        <v>74720</v>
      </c>
      <c r="O157" s="42">
        <f>VLOOKUP(B157,Market_Salary_Benchmarks!$A$1:$G$11,6,FALSE)</f>
        <v>106330</v>
      </c>
      <c r="P157" s="42">
        <f>VLOOKUP(B157,Market_Salary_Benchmarks!$A$1:$G$11,7,FALSE)</f>
        <v>162780</v>
      </c>
      <c r="Q157" s="26">
        <f>H157/O157</f>
        <v>0.92807298034421137</v>
      </c>
      <c r="R157" s="26">
        <f>(H157-N157)/(P157-N157)</f>
        <v>0.27210992505110154</v>
      </c>
      <c r="S157" s="23" t="str">
        <f>IF(H157 &lt; N157, "Below Market", IF(H157 &gt; P157, "Above Market", "At Market"))</f>
        <v>At Market</v>
      </c>
      <c r="T157" s="22" t="str">
        <f>B157 &amp; "-" &amp; D157</f>
        <v>Operations Manager-4</v>
      </c>
      <c r="U157" s="41">
        <f>AVERAGEIFS(H:H, K:K, "Female", B:B, B157, D:D, D157)</f>
        <v>96094.111111111109</v>
      </c>
      <c r="V157" s="41">
        <f>AVERAGEIFS(H:H, K:K, "Male", B:B, B157, D:D, D157)</f>
        <v>95248.28571428571</v>
      </c>
      <c r="W157" s="27">
        <f>(V157-U157)/V157</f>
        <v>-8.8802164835029597E-3</v>
      </c>
      <c r="X157" s="23" t="str">
        <f>IF(ABS(W157) &gt;= 0.1, "High Risk",
 IF(ABS(W157) &gt;= 0.05, "Moderate Risk",
 "Low Risk"))</f>
        <v>Low Risk</v>
      </c>
      <c r="Y157" t="str">
        <f>IF(J157&gt;=3,"Yes","No")</f>
        <v>Yes</v>
      </c>
      <c r="Z157">
        <f>IF(TRIM(S157)="Below Market",1,
 IF(TRIM(S157)="At Market",2,
 IF(TRIM(S157)="Above Market",3,0)))</f>
        <v>2</v>
      </c>
      <c r="AA157" s="26" cm="1">
        <f t="array" ref="AA157">IF($Y157&lt;&gt;"Yes",0,INDEX(Merit_Matrix!$B$2:$D$4,MATCH($J157,Merit_Matrix!$A$2:$A$4,0),Z157))</f>
        <v>0.03</v>
      </c>
      <c r="AB157" s="41">
        <f>H157*AA157</f>
        <v>2960.46</v>
      </c>
      <c r="AC157" s="41">
        <f>H157+AB157</f>
        <v>101642.46</v>
      </c>
      <c r="AD157" s="26">
        <f>AC157/O157</f>
        <v>0.95591516975453783</v>
      </c>
      <c r="AE15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58" spans="1:31" x14ac:dyDescent="0.3">
      <c r="A158">
        <v>1155</v>
      </c>
      <c r="B158" t="s">
        <v>30</v>
      </c>
      <c r="C158" t="s">
        <v>24</v>
      </c>
      <c r="D158">
        <v>2</v>
      </c>
      <c r="E158" t="s">
        <v>21</v>
      </c>
      <c r="F158" t="s">
        <v>24</v>
      </c>
      <c r="G158" t="s">
        <v>15</v>
      </c>
      <c r="H158" s="41">
        <v>57218</v>
      </c>
      <c r="I158" t="b">
        <v>0</v>
      </c>
      <c r="J158">
        <v>4</v>
      </c>
      <c r="K158" t="s">
        <v>19</v>
      </c>
      <c r="L158" s="1">
        <v>44513</v>
      </c>
      <c r="M158">
        <v>9</v>
      </c>
      <c r="N158" s="42">
        <f>VLOOKUP(B158,Market_Salary_Benchmarks!$A$1:$G$11,5,FALSE)</f>
        <v>37930</v>
      </c>
      <c r="O158" s="42">
        <f>VLOOKUP(B158,Market_Salary_Benchmarks!$A$1:$G$11,6,FALSE)</f>
        <v>45470</v>
      </c>
      <c r="P158" s="42">
        <f>VLOOKUP(B158,Market_Salary_Benchmarks!$A$1:$G$11,7,FALSE)</f>
        <v>54160</v>
      </c>
      <c r="Q158" s="26">
        <f>H158/O158</f>
        <v>1.2583681548273586</v>
      </c>
      <c r="R158" s="26">
        <f>(H158-N158)/(P158-N158)</f>
        <v>1.1884165126309303</v>
      </c>
      <c r="S158" s="23" t="str">
        <f>IF(H158 &lt; N158, "Below Market", IF(H158 &gt; P158, "Above Market", "At Market"))</f>
        <v>Above Market</v>
      </c>
      <c r="T158" s="22" t="str">
        <f>B158 &amp; "-" &amp; D158</f>
        <v>Payroll Specialist-2</v>
      </c>
      <c r="U158" s="41">
        <f>AVERAGEIFS(H:H, K:K, "Female", B:B, B158, D:D, D158)</f>
        <v>58334.555555555555</v>
      </c>
      <c r="V158" s="41">
        <f>AVERAGEIFS(H:H, K:K, "Male", B:B, B158, D:D, D158)</f>
        <v>56264.5</v>
      </c>
      <c r="W158" s="27">
        <f>(V158-U158)/V158</f>
        <v>-3.6791503622276123E-2</v>
      </c>
      <c r="X158" s="23" t="str">
        <f>IF(ABS(W158) &gt;= 0.1, "High Risk",
 IF(ABS(W158) &gt;= 0.05, "Moderate Risk",
 "Low Risk"))</f>
        <v>Low Risk</v>
      </c>
      <c r="Y158" t="str">
        <f>IF(J158&gt;=3,"Yes","No")</f>
        <v>Yes</v>
      </c>
      <c r="Z158">
        <f>IF(TRIM(S158)="Below Market",1,
 IF(TRIM(S158)="At Market",2,
 IF(TRIM(S158)="Above Market",3,0)))</f>
        <v>3</v>
      </c>
      <c r="AA158" s="26" cm="1">
        <f t="array" ref="AA158">IF($Y158&lt;&gt;"Yes",0,INDEX(Merit_Matrix!$B$2:$D$4,MATCH($J158,Merit_Matrix!$A$2:$A$4,0),Z158))</f>
        <v>0.03</v>
      </c>
      <c r="AB158" s="41">
        <f>H158*AA158</f>
        <v>1716.54</v>
      </c>
      <c r="AC158" s="41">
        <f>H158+AB158</f>
        <v>58934.54</v>
      </c>
      <c r="AD158" s="26">
        <f>AC158/O158</f>
        <v>1.2961191994721795</v>
      </c>
      <c r="AE158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59" spans="1:31" x14ac:dyDescent="0.3">
      <c r="A159">
        <v>1156</v>
      </c>
      <c r="B159" t="s">
        <v>17</v>
      </c>
      <c r="C159" t="s">
        <v>18</v>
      </c>
      <c r="D159">
        <v>2</v>
      </c>
      <c r="E159" t="s">
        <v>14</v>
      </c>
      <c r="F159" t="s">
        <v>18</v>
      </c>
      <c r="G159" t="s">
        <v>15</v>
      </c>
      <c r="H159" s="41">
        <v>52538</v>
      </c>
      <c r="I159" t="b">
        <v>0</v>
      </c>
      <c r="J159">
        <v>2</v>
      </c>
      <c r="K159" t="s">
        <v>16</v>
      </c>
      <c r="L159" s="1">
        <v>45152</v>
      </c>
      <c r="M159">
        <v>8</v>
      </c>
      <c r="N159" s="42">
        <f>VLOOKUP(B159,Market_Salary_Benchmarks!$A$1:$G$11,5,FALSE)</f>
        <v>81130</v>
      </c>
      <c r="O159" s="42">
        <f>VLOOKUP(B159,Market_Salary_Benchmarks!$A$1:$G$11,6,FALSE)</f>
        <v>103730</v>
      </c>
      <c r="P159" s="42">
        <f>VLOOKUP(B159,Market_Salary_Benchmarks!$A$1:$G$11,7,FALSE)</f>
        <v>132670</v>
      </c>
      <c r="Q159" s="26">
        <f>H159/O159</f>
        <v>0.50648799768630093</v>
      </c>
      <c r="R159" s="26">
        <f>(H159-N159)/(P159-N159)</f>
        <v>-0.55475358944509123</v>
      </c>
      <c r="S159" s="23" t="str">
        <f>IF(H159 &lt; N159, "Below Market", IF(H159 &gt; P159, "Above Market", "At Market"))</f>
        <v>Below Market</v>
      </c>
      <c r="T159" s="22" t="str">
        <f>B159 &amp; "-" &amp; D159</f>
        <v>IT Analyst-2</v>
      </c>
      <c r="U159" s="41">
        <f>AVERAGEIFS(H:H, K:K, "Female", B:B, B159, D:D, D159)</f>
        <v>55600.230769230766</v>
      </c>
      <c r="V159" s="41">
        <f>AVERAGEIFS(H:H, K:K, "Male", B:B, B159, D:D, D159)</f>
        <v>58468.727272727272</v>
      </c>
      <c r="W159" s="27">
        <f>(V159-U159)/V159</f>
        <v>4.9060354779340579E-2</v>
      </c>
      <c r="X159" s="23" t="str">
        <f>IF(ABS(W159) &gt;= 0.1, "High Risk",
 IF(ABS(W159) &gt;= 0.05, "Moderate Risk",
 "Low Risk"))</f>
        <v>Low Risk</v>
      </c>
      <c r="Y159" t="str">
        <f>IF(J159&gt;=3,"Yes","No")</f>
        <v>No</v>
      </c>
      <c r="Z159">
        <f>IF(TRIM(S159)="Below Market",1,
 IF(TRIM(S159)="At Market",2,
 IF(TRIM(S159)="Above Market",3,0)))</f>
        <v>1</v>
      </c>
      <c r="AA159" s="26" cm="1">
        <f t="array" ref="AA159">IF($Y159&lt;&gt;"Yes",0,INDEX(Merit_Matrix!$B$2:$D$4,MATCH($J159,Merit_Matrix!$A$2:$A$4,0),Z159))</f>
        <v>0</v>
      </c>
      <c r="AB159" s="41">
        <f>H159*AA159</f>
        <v>0</v>
      </c>
      <c r="AC159" s="41">
        <f>H159+AB159</f>
        <v>52538</v>
      </c>
      <c r="AD159" s="26">
        <f>AC159/O159</f>
        <v>0.50648799768630093</v>
      </c>
      <c r="AE159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60" spans="1:31" x14ac:dyDescent="0.3">
      <c r="A160">
        <v>1157</v>
      </c>
      <c r="B160" t="s">
        <v>28</v>
      </c>
      <c r="C160" t="s">
        <v>24</v>
      </c>
      <c r="D160">
        <v>3</v>
      </c>
      <c r="E160" t="s">
        <v>14</v>
      </c>
      <c r="F160" t="s">
        <v>24</v>
      </c>
      <c r="G160" t="s">
        <v>15</v>
      </c>
      <c r="H160" s="41">
        <v>74425</v>
      </c>
      <c r="I160" t="b">
        <v>1</v>
      </c>
      <c r="J160">
        <v>3</v>
      </c>
      <c r="K160" t="s">
        <v>19</v>
      </c>
      <c r="L160" s="1">
        <v>43284</v>
      </c>
      <c r="M160">
        <v>5</v>
      </c>
      <c r="N160" s="42">
        <f>VLOOKUP(B160,Market_Salary_Benchmarks!$A$1:$G$11,5,FALSE)</f>
        <v>50970</v>
      </c>
      <c r="O160" s="42">
        <f>VLOOKUP(B160,Market_Salary_Benchmarks!$A$1:$G$11,6,FALSE)</f>
        <v>56720</v>
      </c>
      <c r="P160" s="42">
        <f>VLOOKUP(B160,Market_Salary_Benchmarks!$A$1:$G$11,7,FALSE)</f>
        <v>75360</v>
      </c>
      <c r="Q160" s="26">
        <f>H160/O160</f>
        <v>1.3121473906911143</v>
      </c>
      <c r="R160" s="26">
        <f>(H160-N160)/(P160-N160)</f>
        <v>0.96166461664616643</v>
      </c>
      <c r="S160" s="23" t="str">
        <f>IF(H160 &lt; N160, "Below Market", IF(H160 &gt; P160, "Above Market", "At Market"))</f>
        <v>At Market</v>
      </c>
      <c r="T160" s="22" t="str">
        <f>B160 &amp; "-" &amp; D160</f>
        <v>Compensation Analyst-3</v>
      </c>
      <c r="U160" s="41">
        <f>AVERAGEIFS(H:H, K:K, "Female", B:B, B160, D:D, D160)</f>
        <v>76621.166666666672</v>
      </c>
      <c r="V160" s="41">
        <f>AVERAGEIFS(H:H, K:K, "Male", B:B, B160, D:D, D160)</f>
        <v>77763.875</v>
      </c>
      <c r="W160" s="27">
        <f>(V160-U160)/V160</f>
        <v>1.4694590943845436E-2</v>
      </c>
      <c r="X160" s="23" t="str">
        <f>IF(ABS(W160) &gt;= 0.1, "High Risk",
 IF(ABS(W160) &gt;= 0.05, "Moderate Risk",
 "Low Risk"))</f>
        <v>Low Risk</v>
      </c>
      <c r="Y160" t="str">
        <f>IF(J160&gt;=3,"Yes","No")</f>
        <v>Yes</v>
      </c>
      <c r="Z160">
        <f>IF(TRIM(S160)="Below Market",1,
 IF(TRIM(S160)="At Market",2,
 IF(TRIM(S160)="Above Market",3,0)))</f>
        <v>2</v>
      </c>
      <c r="AA160" s="26" cm="1">
        <f t="array" ref="AA160">IF($Y160&lt;&gt;"Yes",0,INDEX(Merit_Matrix!$B$2:$D$4,MATCH($J160,Merit_Matrix!$A$2:$A$4,0),Z160))</f>
        <v>0.03</v>
      </c>
      <c r="AB160" s="41">
        <f>H160*AA160</f>
        <v>2232.75</v>
      </c>
      <c r="AC160" s="41">
        <f>H160+AB160</f>
        <v>76657.75</v>
      </c>
      <c r="AD160" s="26">
        <f>AC160/O160</f>
        <v>1.3515118124118477</v>
      </c>
      <c r="AE160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61" spans="1:31" x14ac:dyDescent="0.3">
      <c r="A161">
        <v>1158</v>
      </c>
      <c r="B161" t="s">
        <v>28</v>
      </c>
      <c r="C161" t="s">
        <v>24</v>
      </c>
      <c r="D161">
        <v>3</v>
      </c>
      <c r="E161" t="s">
        <v>14</v>
      </c>
      <c r="F161" t="s">
        <v>24</v>
      </c>
      <c r="G161" t="s">
        <v>15</v>
      </c>
      <c r="H161" s="41">
        <v>80112</v>
      </c>
      <c r="I161" t="b">
        <v>1</v>
      </c>
      <c r="J161">
        <v>4</v>
      </c>
      <c r="K161" t="s">
        <v>19</v>
      </c>
      <c r="L161" s="1">
        <v>42840</v>
      </c>
      <c r="M161">
        <v>8</v>
      </c>
      <c r="N161" s="42">
        <f>VLOOKUP(B161,Market_Salary_Benchmarks!$A$1:$G$11,5,FALSE)</f>
        <v>50970</v>
      </c>
      <c r="O161" s="42">
        <f>VLOOKUP(B161,Market_Salary_Benchmarks!$A$1:$G$11,6,FALSE)</f>
        <v>56720</v>
      </c>
      <c r="P161" s="42">
        <f>VLOOKUP(B161,Market_Salary_Benchmarks!$A$1:$G$11,7,FALSE)</f>
        <v>75360</v>
      </c>
      <c r="Q161" s="26">
        <f>H161/O161</f>
        <v>1.4124118476727785</v>
      </c>
      <c r="R161" s="26">
        <f>(H161-N161)/(P161-N161)</f>
        <v>1.1948339483394834</v>
      </c>
      <c r="S161" s="23" t="str">
        <f>IF(H161 &lt; N161, "Below Market", IF(H161 &gt; P161, "Above Market", "At Market"))</f>
        <v>Above Market</v>
      </c>
      <c r="T161" s="22" t="str">
        <f>B161 &amp; "-" &amp; D161</f>
        <v>Compensation Analyst-3</v>
      </c>
      <c r="U161" s="41">
        <f>AVERAGEIFS(H:H, K:K, "Female", B:B, B161, D:D, D161)</f>
        <v>76621.166666666672</v>
      </c>
      <c r="V161" s="41">
        <f>AVERAGEIFS(H:H, K:K, "Male", B:B, B161, D:D, D161)</f>
        <v>77763.875</v>
      </c>
      <c r="W161" s="27">
        <f>(V161-U161)/V161</f>
        <v>1.4694590943845436E-2</v>
      </c>
      <c r="X161" s="23" t="str">
        <f>IF(ABS(W161) &gt;= 0.1, "High Risk",
 IF(ABS(W161) &gt;= 0.05, "Moderate Risk",
 "Low Risk"))</f>
        <v>Low Risk</v>
      </c>
      <c r="Y161" t="str">
        <f>IF(J161&gt;=3,"Yes","No")</f>
        <v>Yes</v>
      </c>
      <c r="Z161">
        <f>IF(TRIM(S161)="Below Market",1,
 IF(TRIM(S161)="At Market",2,
 IF(TRIM(S161)="Above Market",3,0)))</f>
        <v>3</v>
      </c>
      <c r="AA161" s="26" cm="1">
        <f t="array" ref="AA161">IF($Y161&lt;&gt;"Yes",0,INDEX(Merit_Matrix!$B$2:$D$4,MATCH($J161,Merit_Matrix!$A$2:$A$4,0),Z161))</f>
        <v>0.03</v>
      </c>
      <c r="AB161" s="41">
        <f>H161*AA161</f>
        <v>2403.36</v>
      </c>
      <c r="AC161" s="41">
        <f>H161+AB161</f>
        <v>82515.360000000001</v>
      </c>
      <c r="AD161" s="26">
        <f>AC161/O161</f>
        <v>1.4547842031029619</v>
      </c>
      <c r="AE161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62" spans="1:31" x14ac:dyDescent="0.3">
      <c r="A162">
        <v>1159</v>
      </c>
      <c r="B162" t="s">
        <v>25</v>
      </c>
      <c r="C162" t="s">
        <v>26</v>
      </c>
      <c r="D162">
        <v>3</v>
      </c>
      <c r="E162" t="s">
        <v>14</v>
      </c>
      <c r="F162" t="s">
        <v>26</v>
      </c>
      <c r="G162" t="s">
        <v>15</v>
      </c>
      <c r="H162" s="41">
        <v>70804</v>
      </c>
      <c r="I162" t="b">
        <v>1</v>
      </c>
      <c r="J162">
        <v>4</v>
      </c>
      <c r="K162" t="s">
        <v>19</v>
      </c>
      <c r="L162" s="1">
        <v>43446</v>
      </c>
      <c r="M162">
        <v>13</v>
      </c>
      <c r="N162" s="42">
        <f>VLOOKUP(B162,Market_Salary_Benchmarks!$A$1:$G$11,5,FALSE)</f>
        <v>49460</v>
      </c>
      <c r="O162" s="42">
        <f>VLOOKUP(B162,Market_Salary_Benchmarks!$A$1:$G$11,6,FALSE)</f>
        <v>78370</v>
      </c>
      <c r="P162" s="42">
        <f>VLOOKUP(B162,Market_Salary_Benchmarks!$A$1:$G$11,7,FALSE)</f>
        <v>104330</v>
      </c>
      <c r="Q162" s="26">
        <f>H162/O162</f>
        <v>0.90345795585045297</v>
      </c>
      <c r="R162" s="26">
        <f>(H162-N162)/(P162-N162)</f>
        <v>0.38899216329506103</v>
      </c>
      <c r="S162" s="23" t="str">
        <f>IF(H162 &lt; N162, "Below Market", IF(H162 &gt; P162, "Above Market", "At Market"))</f>
        <v>At Market</v>
      </c>
      <c r="T162" s="22" t="str">
        <f>B162 &amp; "-" &amp; D162</f>
        <v>Financial Analyst-3</v>
      </c>
      <c r="U162" s="41">
        <f>AVERAGEIFS(H:H, K:K, "Female", B:B, B162, D:D, D162)</f>
        <v>76962.636363636368</v>
      </c>
      <c r="V162" s="41">
        <f>AVERAGEIFS(H:H, K:K, "Male", B:B, B162, D:D, D162)</f>
        <v>77416</v>
      </c>
      <c r="W162" s="27">
        <f>(V162-U162)/V162</f>
        <v>5.8562007383955823E-3</v>
      </c>
      <c r="X162" s="23" t="str">
        <f>IF(ABS(W162) &gt;= 0.1, "High Risk",
 IF(ABS(W162) &gt;= 0.05, "Moderate Risk",
 "Low Risk"))</f>
        <v>Low Risk</v>
      </c>
      <c r="Y162" t="str">
        <f>IF(J162&gt;=3,"Yes","No")</f>
        <v>Yes</v>
      </c>
      <c r="Z162">
        <f>IF(TRIM(S162)="Below Market",1,
 IF(TRIM(S162)="At Market",2,
 IF(TRIM(S162)="Above Market",3,0)))</f>
        <v>2</v>
      </c>
      <c r="AA162" s="26" cm="1">
        <f t="array" ref="AA162">IF($Y162&lt;&gt;"Yes",0,INDEX(Merit_Matrix!$B$2:$D$4,MATCH($J162,Merit_Matrix!$A$2:$A$4,0),Z162))</f>
        <v>0.04</v>
      </c>
      <c r="AB162" s="41">
        <f>H162*AA162</f>
        <v>2832.16</v>
      </c>
      <c r="AC162" s="41">
        <f>H162+AB162</f>
        <v>73636.160000000003</v>
      </c>
      <c r="AD162" s="26">
        <f>AC162/O162</f>
        <v>0.93959627408447111</v>
      </c>
      <c r="AE16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63" spans="1:31" x14ac:dyDescent="0.3">
      <c r="A163">
        <v>1160</v>
      </c>
      <c r="B163" t="s">
        <v>30</v>
      </c>
      <c r="C163" t="s">
        <v>24</v>
      </c>
      <c r="D163">
        <v>2</v>
      </c>
      <c r="E163" t="s">
        <v>21</v>
      </c>
      <c r="F163" t="s">
        <v>24</v>
      </c>
      <c r="G163" t="s">
        <v>15</v>
      </c>
      <c r="H163" s="41">
        <v>55619</v>
      </c>
      <c r="I163" t="b">
        <v>0</v>
      </c>
      <c r="J163">
        <v>4</v>
      </c>
      <c r="K163" t="s">
        <v>19</v>
      </c>
      <c r="L163" s="1">
        <v>45131</v>
      </c>
      <c r="M163">
        <v>9</v>
      </c>
      <c r="N163" s="42">
        <f>VLOOKUP(B163,Market_Salary_Benchmarks!$A$1:$G$11,5,FALSE)</f>
        <v>37930</v>
      </c>
      <c r="O163" s="42">
        <f>VLOOKUP(B163,Market_Salary_Benchmarks!$A$1:$G$11,6,FALSE)</f>
        <v>45470</v>
      </c>
      <c r="P163" s="42">
        <f>VLOOKUP(B163,Market_Salary_Benchmarks!$A$1:$G$11,7,FALSE)</f>
        <v>54160</v>
      </c>
      <c r="Q163" s="26">
        <f>H163/O163</f>
        <v>1.2232021112821641</v>
      </c>
      <c r="R163" s="26">
        <f>(H163-N163)/(P163-N163)</f>
        <v>1.0898952556993222</v>
      </c>
      <c r="S163" s="23" t="str">
        <f>IF(H163 &lt; N163, "Below Market", IF(H163 &gt; P163, "Above Market", "At Market"))</f>
        <v>Above Market</v>
      </c>
      <c r="T163" s="22" t="str">
        <f>B163 &amp; "-" &amp; D163</f>
        <v>Payroll Specialist-2</v>
      </c>
      <c r="U163" s="41">
        <f>AVERAGEIFS(H:H, K:K, "Female", B:B, B163, D:D, D163)</f>
        <v>58334.555555555555</v>
      </c>
      <c r="V163" s="41">
        <f>AVERAGEIFS(H:H, K:K, "Male", B:B, B163, D:D, D163)</f>
        <v>56264.5</v>
      </c>
      <c r="W163" s="27">
        <f>(V163-U163)/V163</f>
        <v>-3.6791503622276123E-2</v>
      </c>
      <c r="X163" s="23" t="str">
        <f>IF(ABS(W163) &gt;= 0.1, "High Risk",
 IF(ABS(W163) &gt;= 0.05, "Moderate Risk",
 "Low Risk"))</f>
        <v>Low Risk</v>
      </c>
      <c r="Y163" t="str">
        <f>IF(J163&gt;=3,"Yes","No")</f>
        <v>Yes</v>
      </c>
      <c r="Z163">
        <f>IF(TRIM(S163)="Below Market",1,
 IF(TRIM(S163)="At Market",2,
 IF(TRIM(S163)="Above Market",3,0)))</f>
        <v>3</v>
      </c>
      <c r="AA163" s="26" cm="1">
        <f t="array" ref="AA163">IF($Y163&lt;&gt;"Yes",0,INDEX(Merit_Matrix!$B$2:$D$4,MATCH($J163,Merit_Matrix!$A$2:$A$4,0),Z163))</f>
        <v>0.03</v>
      </c>
      <c r="AB163" s="41">
        <f>H163*AA163</f>
        <v>1668.57</v>
      </c>
      <c r="AC163" s="41">
        <f>H163+AB163</f>
        <v>57287.57</v>
      </c>
      <c r="AD163" s="26">
        <f>AC163/O163</f>
        <v>1.259898174620629</v>
      </c>
      <c r="AE163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64" spans="1:31" x14ac:dyDescent="0.3">
      <c r="A164">
        <v>1161</v>
      </c>
      <c r="B164" t="s">
        <v>12</v>
      </c>
      <c r="C164" t="s">
        <v>13</v>
      </c>
      <c r="D164">
        <v>4</v>
      </c>
      <c r="E164" t="s">
        <v>14</v>
      </c>
      <c r="F164" t="s">
        <v>13</v>
      </c>
      <c r="G164" t="s">
        <v>15</v>
      </c>
      <c r="H164" s="41">
        <v>91186</v>
      </c>
      <c r="I164" t="b">
        <v>1</v>
      </c>
      <c r="J164">
        <v>3</v>
      </c>
      <c r="K164" t="s">
        <v>19</v>
      </c>
      <c r="L164" s="1">
        <v>44969</v>
      </c>
      <c r="M164">
        <v>3</v>
      </c>
      <c r="N164" s="42">
        <f>VLOOKUP(B164,Market_Salary_Benchmarks!$A$1:$G$11,5,FALSE)</f>
        <v>74720</v>
      </c>
      <c r="O164" s="42">
        <f>VLOOKUP(B164,Market_Salary_Benchmarks!$A$1:$G$11,6,FALSE)</f>
        <v>106330</v>
      </c>
      <c r="P164" s="42">
        <f>VLOOKUP(B164,Market_Salary_Benchmarks!$A$1:$G$11,7,FALSE)</f>
        <v>162780</v>
      </c>
      <c r="Q164" s="26">
        <f>H164/O164</f>
        <v>0.8575754725853475</v>
      </c>
      <c r="R164" s="26">
        <f>(H164-N164)/(P164-N164)</f>
        <v>0.18698614580967521</v>
      </c>
      <c r="S164" s="23" t="str">
        <f>IF(H164 &lt; N164, "Below Market", IF(H164 &gt; P164, "Above Market", "At Market"))</f>
        <v>At Market</v>
      </c>
      <c r="T164" s="22" t="str">
        <f>B164 &amp; "-" &amp; D164</f>
        <v>Operations Manager-4</v>
      </c>
      <c r="U164" s="41">
        <f>AVERAGEIFS(H:H, K:K, "Female", B:B, B164, D:D, D164)</f>
        <v>96094.111111111109</v>
      </c>
      <c r="V164" s="41">
        <f>AVERAGEIFS(H:H, K:K, "Male", B:B, B164, D:D, D164)</f>
        <v>95248.28571428571</v>
      </c>
      <c r="W164" s="27">
        <f>(V164-U164)/V164</f>
        <v>-8.8802164835029597E-3</v>
      </c>
      <c r="X164" s="23" t="str">
        <f>IF(ABS(W164) &gt;= 0.1, "High Risk",
 IF(ABS(W164) &gt;= 0.05, "Moderate Risk",
 "Low Risk"))</f>
        <v>Low Risk</v>
      </c>
      <c r="Y164" t="str">
        <f>IF(J164&gt;=3,"Yes","No")</f>
        <v>Yes</v>
      </c>
      <c r="Z164">
        <f>IF(TRIM(S164)="Below Market",1,
 IF(TRIM(S164)="At Market",2,
 IF(TRIM(S164)="Above Market",3,0)))</f>
        <v>2</v>
      </c>
      <c r="AA164" s="26" cm="1">
        <f t="array" ref="AA164">IF($Y164&lt;&gt;"Yes",0,INDEX(Merit_Matrix!$B$2:$D$4,MATCH($J164,Merit_Matrix!$A$2:$A$4,0),Z164))</f>
        <v>0.03</v>
      </c>
      <c r="AB164" s="41">
        <f>H164*AA164</f>
        <v>2735.58</v>
      </c>
      <c r="AC164" s="41">
        <f>H164+AB164</f>
        <v>93921.58</v>
      </c>
      <c r="AD164" s="26">
        <f>AC164/O164</f>
        <v>0.88330273676290794</v>
      </c>
      <c r="AE16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65" spans="1:31" x14ac:dyDescent="0.3">
      <c r="A165">
        <v>1162</v>
      </c>
      <c r="B165" t="s">
        <v>22</v>
      </c>
      <c r="C165" t="s">
        <v>18</v>
      </c>
      <c r="D165">
        <v>3</v>
      </c>
      <c r="E165" t="s">
        <v>14</v>
      </c>
      <c r="F165" t="s">
        <v>18</v>
      </c>
      <c r="G165" t="s">
        <v>15</v>
      </c>
      <c r="H165" s="41">
        <v>77368</v>
      </c>
      <c r="I165" t="b">
        <v>1</v>
      </c>
      <c r="J165">
        <v>5</v>
      </c>
      <c r="K165" t="s">
        <v>16</v>
      </c>
      <c r="L165" s="1">
        <v>43174</v>
      </c>
      <c r="M165">
        <v>12</v>
      </c>
      <c r="N165" s="42">
        <f>VLOOKUP(B165,Market_Salary_Benchmarks!$A$1:$G$11,5,FALSE)</f>
        <v>103040</v>
      </c>
      <c r="O165" s="42">
        <f>VLOOKUP(B165,Market_Salary_Benchmarks!$A$1:$G$11,6,FALSE)</f>
        <v>133500</v>
      </c>
      <c r="P165" s="42">
        <f>VLOOKUP(B165,Market_Salary_Benchmarks!$A$1:$G$11,7,FALSE)</f>
        <v>171680</v>
      </c>
      <c r="Q165" s="26">
        <f>H165/O165</f>
        <v>0.57953558052434462</v>
      </c>
      <c r="R165" s="26">
        <f>(H165-N165)/(P165-N165)</f>
        <v>-0.37400932400932402</v>
      </c>
      <c r="S165" s="23" t="str">
        <f>IF(H165 &lt; N165, "Below Market", IF(H165 &gt; P165, "Above Market", "At Market"))</f>
        <v>Below Market</v>
      </c>
      <c r="T165" s="22" t="str">
        <f>B165 &amp; "-" &amp; D165</f>
        <v>Senior IT Analyst-3</v>
      </c>
      <c r="U165" s="41">
        <f>AVERAGEIFS(H:H, K:K, "Female", B:B, B165, D:D, D165)</f>
        <v>78401.571428571435</v>
      </c>
      <c r="V165" s="41">
        <f>AVERAGEIFS(H:H, K:K, "Male", B:B, B165, D:D, D165)</f>
        <v>75875.125</v>
      </c>
      <c r="W165" s="27">
        <f>(V165-U165)/V165</f>
        <v>-3.3297426904686282E-2</v>
      </c>
      <c r="X165" s="23" t="str">
        <f>IF(ABS(W165) &gt;= 0.1, "High Risk",
 IF(ABS(W165) &gt;= 0.05, "Moderate Risk",
 "Low Risk"))</f>
        <v>Low Risk</v>
      </c>
      <c r="Y165" t="str">
        <f>IF(J165&gt;=3,"Yes","No")</f>
        <v>Yes</v>
      </c>
      <c r="Z165">
        <f>IF(TRIM(S165)="Below Market",1,
 IF(TRIM(S165)="At Market",2,
 IF(TRIM(S165)="Above Market",3,0)))</f>
        <v>1</v>
      </c>
      <c r="AA165" s="26" cm="1">
        <f t="array" ref="AA165">IF($Y165&lt;&gt;"Yes",0,INDEX(Merit_Matrix!$B$2:$D$4,MATCH($J165,Merit_Matrix!$A$2:$A$4,0),Z165))</f>
        <v>0.06</v>
      </c>
      <c r="AB165" s="41">
        <f>H165*AA165</f>
        <v>4642.08</v>
      </c>
      <c r="AC165" s="41">
        <f>H165+AB165</f>
        <v>82010.080000000002</v>
      </c>
      <c r="AD165" s="26">
        <f>AC165/O165</f>
        <v>0.61430771535580531</v>
      </c>
      <c r="AE16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66" spans="1:31" x14ac:dyDescent="0.3">
      <c r="A166">
        <v>1163</v>
      </c>
      <c r="B166" t="s">
        <v>20</v>
      </c>
      <c r="C166" t="s">
        <v>13</v>
      </c>
      <c r="D166">
        <v>3</v>
      </c>
      <c r="E166" t="s">
        <v>21</v>
      </c>
      <c r="F166" t="s">
        <v>13</v>
      </c>
      <c r="G166" t="s">
        <v>15</v>
      </c>
      <c r="H166" s="41">
        <v>82116</v>
      </c>
      <c r="I166" t="b">
        <v>1</v>
      </c>
      <c r="J166">
        <v>3</v>
      </c>
      <c r="K166" t="s">
        <v>16</v>
      </c>
      <c r="L166" s="1">
        <v>44070</v>
      </c>
      <c r="M166">
        <v>10</v>
      </c>
      <c r="N166" s="42">
        <f>VLOOKUP(B166,Market_Salary_Benchmarks!$A$1:$G$11,5,FALSE)</f>
        <v>52500</v>
      </c>
      <c r="O166" s="42">
        <f>VLOOKUP(B166,Market_Salary_Benchmarks!$A$1:$G$11,6,FALSE)</f>
        <v>67210</v>
      </c>
      <c r="P166" s="42">
        <f>VLOOKUP(B166,Market_Salary_Benchmarks!$A$1:$G$11,7,FALSE)</f>
        <v>83970</v>
      </c>
      <c r="Q166" s="26">
        <f>H166/O166</f>
        <v>1.2217824728463027</v>
      </c>
      <c r="R166" s="26">
        <f>(H166-N166)/(P166-N166)</f>
        <v>0.94108674928503333</v>
      </c>
      <c r="S166" s="23" t="str">
        <f>IF(H166 &lt; N166, "Below Market", IF(H166 &gt; P166, "Above Market", "At Market"))</f>
        <v>At Market</v>
      </c>
      <c r="T166" s="22" t="str">
        <f>B166 &amp; "-" &amp; D166</f>
        <v>Operations Supervisor-3</v>
      </c>
      <c r="U166" s="41">
        <f>AVERAGEIFS(H:H, K:K, "Female", B:B, B166, D:D, D166)</f>
        <v>79072.21428571429</v>
      </c>
      <c r="V166" s="41">
        <f>AVERAGEIFS(H:H, K:K, "Male", B:B, B166, D:D, D166)</f>
        <v>76780.28571428571</v>
      </c>
      <c r="W166" s="27">
        <f>(V166-U166)/V166</f>
        <v>-2.9850482452713045E-2</v>
      </c>
      <c r="X166" s="23" t="str">
        <f>IF(ABS(W166) &gt;= 0.1, "High Risk",
 IF(ABS(W166) &gt;= 0.05, "Moderate Risk",
 "Low Risk"))</f>
        <v>Low Risk</v>
      </c>
      <c r="Y166" t="str">
        <f>IF(J166&gt;=3,"Yes","No")</f>
        <v>Yes</v>
      </c>
      <c r="Z166">
        <f>IF(TRIM(S166)="Below Market",1,
 IF(TRIM(S166)="At Market",2,
 IF(TRIM(S166)="Above Market",3,0)))</f>
        <v>2</v>
      </c>
      <c r="AA166" s="26" cm="1">
        <f t="array" ref="AA166">IF($Y166&lt;&gt;"Yes",0,INDEX(Merit_Matrix!$B$2:$D$4,MATCH($J166,Merit_Matrix!$A$2:$A$4,0),Z166))</f>
        <v>0.03</v>
      </c>
      <c r="AB166" s="41">
        <f>H166*AA166</f>
        <v>2463.48</v>
      </c>
      <c r="AC166" s="41">
        <f>H166+AB166</f>
        <v>84579.48</v>
      </c>
      <c r="AD166" s="26">
        <f>AC166/O166</f>
        <v>1.2584359470316917</v>
      </c>
      <c r="AE166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67" spans="1:31" x14ac:dyDescent="0.3">
      <c r="A167">
        <v>1164</v>
      </c>
      <c r="B167" t="s">
        <v>20</v>
      </c>
      <c r="C167" t="s">
        <v>13</v>
      </c>
      <c r="D167">
        <v>3</v>
      </c>
      <c r="E167" t="s">
        <v>21</v>
      </c>
      <c r="F167" t="s">
        <v>13</v>
      </c>
      <c r="G167" t="s">
        <v>15</v>
      </c>
      <c r="H167" s="41">
        <v>82875</v>
      </c>
      <c r="I167" t="b">
        <v>1</v>
      </c>
      <c r="J167">
        <v>2</v>
      </c>
      <c r="K167" t="s">
        <v>16</v>
      </c>
      <c r="L167" s="1">
        <v>44444</v>
      </c>
      <c r="M167">
        <v>10</v>
      </c>
      <c r="N167" s="42">
        <f>VLOOKUP(B167,Market_Salary_Benchmarks!$A$1:$G$11,5,FALSE)</f>
        <v>52500</v>
      </c>
      <c r="O167" s="42">
        <f>VLOOKUP(B167,Market_Salary_Benchmarks!$A$1:$G$11,6,FALSE)</f>
        <v>67210</v>
      </c>
      <c r="P167" s="42">
        <f>VLOOKUP(B167,Market_Salary_Benchmarks!$A$1:$G$11,7,FALSE)</f>
        <v>83970</v>
      </c>
      <c r="Q167" s="26">
        <f>H167/O167</f>
        <v>1.2330754352030948</v>
      </c>
      <c r="R167" s="26">
        <f>(H167-N167)/(P167-N167)</f>
        <v>0.96520495710200194</v>
      </c>
      <c r="S167" s="23" t="str">
        <f>IF(H167 &lt; N167, "Below Market", IF(H167 &gt; P167, "Above Market", "At Market"))</f>
        <v>At Market</v>
      </c>
      <c r="T167" s="22" t="str">
        <f>B167 &amp; "-" &amp; D167</f>
        <v>Operations Supervisor-3</v>
      </c>
      <c r="U167" s="41">
        <f>AVERAGEIFS(H:H, K:K, "Female", B:B, B167, D:D, D167)</f>
        <v>79072.21428571429</v>
      </c>
      <c r="V167" s="41">
        <f>AVERAGEIFS(H:H, K:K, "Male", B:B, B167, D:D, D167)</f>
        <v>76780.28571428571</v>
      </c>
      <c r="W167" s="27">
        <f>(V167-U167)/V167</f>
        <v>-2.9850482452713045E-2</v>
      </c>
      <c r="X167" s="23" t="str">
        <f>IF(ABS(W167) &gt;= 0.1, "High Risk",
 IF(ABS(W167) &gt;= 0.05, "Moderate Risk",
 "Low Risk"))</f>
        <v>Low Risk</v>
      </c>
      <c r="Y167" t="str">
        <f>IF(J167&gt;=3,"Yes","No")</f>
        <v>No</v>
      </c>
      <c r="Z167">
        <f>IF(TRIM(S167)="Below Market",1,
 IF(TRIM(S167)="At Market",2,
 IF(TRIM(S167)="Above Market",3,0)))</f>
        <v>2</v>
      </c>
      <c r="AA167" s="26" cm="1">
        <f t="array" ref="AA167">IF($Y167&lt;&gt;"Yes",0,INDEX(Merit_Matrix!$B$2:$D$4,MATCH($J167,Merit_Matrix!$A$2:$A$4,0),Z167))</f>
        <v>0</v>
      </c>
      <c r="AB167" s="41">
        <f>H167*AA167</f>
        <v>0</v>
      </c>
      <c r="AC167" s="41">
        <f>H167+AB167</f>
        <v>82875</v>
      </c>
      <c r="AD167" s="26">
        <f>AC167/O167</f>
        <v>1.2330754352030948</v>
      </c>
      <c r="AE16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68" spans="1:31" x14ac:dyDescent="0.3">
      <c r="A168">
        <v>1165</v>
      </c>
      <c r="B168" t="s">
        <v>20</v>
      </c>
      <c r="C168" t="s">
        <v>13</v>
      </c>
      <c r="D168">
        <v>3</v>
      </c>
      <c r="E168" t="s">
        <v>21</v>
      </c>
      <c r="F168" t="s">
        <v>13</v>
      </c>
      <c r="G168" t="s">
        <v>15</v>
      </c>
      <c r="H168" s="41">
        <v>74263</v>
      </c>
      <c r="I168" t="b">
        <v>1</v>
      </c>
      <c r="J168">
        <v>4</v>
      </c>
      <c r="K168" t="s">
        <v>19</v>
      </c>
      <c r="L168" s="1">
        <v>45323</v>
      </c>
      <c r="M168">
        <v>14</v>
      </c>
      <c r="N168" s="42">
        <f>VLOOKUP(B168,Market_Salary_Benchmarks!$A$1:$G$11,5,FALSE)</f>
        <v>52500</v>
      </c>
      <c r="O168" s="42">
        <f>VLOOKUP(B168,Market_Salary_Benchmarks!$A$1:$G$11,6,FALSE)</f>
        <v>67210</v>
      </c>
      <c r="P168" s="42">
        <f>VLOOKUP(B168,Market_Salary_Benchmarks!$A$1:$G$11,7,FALSE)</f>
        <v>83970</v>
      </c>
      <c r="Q168" s="26">
        <f>H168/O168</f>
        <v>1.104939741109954</v>
      </c>
      <c r="R168" s="26">
        <f>(H168-N168)/(P168-N168)</f>
        <v>0.69154750556085165</v>
      </c>
      <c r="S168" s="23" t="str">
        <f>IF(H168 &lt; N168, "Below Market", IF(H168 &gt; P168, "Above Market", "At Market"))</f>
        <v>At Market</v>
      </c>
      <c r="T168" s="22" t="str">
        <f>B168 &amp; "-" &amp; D168</f>
        <v>Operations Supervisor-3</v>
      </c>
      <c r="U168" s="41">
        <f>AVERAGEIFS(H:H, K:K, "Female", B:B, B168, D:D, D168)</f>
        <v>79072.21428571429</v>
      </c>
      <c r="V168" s="41">
        <f>AVERAGEIFS(H:H, K:K, "Male", B:B, B168, D:D, D168)</f>
        <v>76780.28571428571</v>
      </c>
      <c r="W168" s="27">
        <f>(V168-U168)/V168</f>
        <v>-2.9850482452713045E-2</v>
      </c>
      <c r="X168" s="23" t="str">
        <f>IF(ABS(W168) &gt;= 0.1, "High Risk",
 IF(ABS(W168) &gt;= 0.05, "Moderate Risk",
 "Low Risk"))</f>
        <v>Low Risk</v>
      </c>
      <c r="Y168" t="str">
        <f>IF(J168&gt;=3,"Yes","No")</f>
        <v>Yes</v>
      </c>
      <c r="Z168">
        <f>IF(TRIM(S168)="Below Market",1,
 IF(TRIM(S168)="At Market",2,
 IF(TRIM(S168)="Above Market",3,0)))</f>
        <v>2</v>
      </c>
      <c r="AA168" s="26" cm="1">
        <f t="array" ref="AA168">IF($Y168&lt;&gt;"Yes",0,INDEX(Merit_Matrix!$B$2:$D$4,MATCH($J168,Merit_Matrix!$A$2:$A$4,0),Z168))</f>
        <v>0.04</v>
      </c>
      <c r="AB168" s="41">
        <f>H168*AA168</f>
        <v>2970.52</v>
      </c>
      <c r="AC168" s="41">
        <f>H168+AB168</f>
        <v>77233.52</v>
      </c>
      <c r="AD168" s="26">
        <f>AC168/O168</f>
        <v>1.149137330754352</v>
      </c>
      <c r="AE16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69" spans="1:31" x14ac:dyDescent="0.3">
      <c r="A169">
        <v>1166</v>
      </c>
      <c r="B169" t="s">
        <v>29</v>
      </c>
      <c r="C169" t="s">
        <v>24</v>
      </c>
      <c r="D169">
        <v>2</v>
      </c>
      <c r="E169" t="s">
        <v>14</v>
      </c>
      <c r="F169" t="s">
        <v>24</v>
      </c>
      <c r="G169" t="s">
        <v>15</v>
      </c>
      <c r="H169" s="41">
        <v>52969</v>
      </c>
      <c r="I169" t="b">
        <v>0</v>
      </c>
      <c r="J169">
        <v>1</v>
      </c>
      <c r="K169" t="s">
        <v>16</v>
      </c>
      <c r="L169" s="1">
        <v>44215</v>
      </c>
      <c r="M169">
        <v>12</v>
      </c>
      <c r="N169" s="42">
        <f>VLOOKUP(B169,Market_Salary_Benchmarks!$A$1:$G$11,5,FALSE)</f>
        <v>48890</v>
      </c>
      <c r="O169" s="42">
        <f>VLOOKUP(B169,Market_Salary_Benchmarks!$A$1:$G$11,6,FALSE)</f>
        <v>62770</v>
      </c>
      <c r="P169" s="42">
        <f>VLOOKUP(B169,Market_Salary_Benchmarks!$A$1:$G$11,7,FALSE)</f>
        <v>82990</v>
      </c>
      <c r="Q169" s="26">
        <f>H169/O169</f>
        <v>0.84385853114545162</v>
      </c>
      <c r="R169" s="26">
        <f>(H169-N169)/(P169-N169)</f>
        <v>0.11961876832844574</v>
      </c>
      <c r="S169" s="23" t="str">
        <f>IF(H169 &lt; N169, "Below Market", IF(H169 &gt; P169, "Above Market", "At Market"))</f>
        <v>At Market</v>
      </c>
      <c r="T169" s="22" t="str">
        <f>B169 &amp; "-" &amp; D169</f>
        <v>HR Analyst-2</v>
      </c>
      <c r="U169" s="41">
        <f>AVERAGEIFS(H:H, K:K, "Female", B:B, B169, D:D, D169)</f>
        <v>56635.5</v>
      </c>
      <c r="V169" s="41">
        <f>AVERAGEIFS(H:H, K:K, "Male", B:B, B169, D:D, D169)</f>
        <v>59544.4</v>
      </c>
      <c r="W169" s="27">
        <f>(V169-U169)/V169</f>
        <v>4.8852620901377819E-2</v>
      </c>
      <c r="X169" s="23" t="str">
        <f>IF(ABS(W169) &gt;= 0.1, "High Risk",
 IF(ABS(W169) &gt;= 0.05, "Moderate Risk",
 "Low Risk"))</f>
        <v>Low Risk</v>
      </c>
      <c r="Y169" t="str">
        <f>IF(J169&gt;=3,"Yes","No")</f>
        <v>No</v>
      </c>
      <c r="Z169">
        <f>IF(TRIM(S169)="Below Market",1,
 IF(TRIM(S169)="At Market",2,
 IF(TRIM(S169)="Above Market",3,0)))</f>
        <v>2</v>
      </c>
      <c r="AA169" s="26" cm="1">
        <f t="array" ref="AA169">IF($Y169&lt;&gt;"Yes",0,INDEX(Merit_Matrix!$B$2:$D$4,MATCH($J169,Merit_Matrix!$A$2:$A$4,0),Z169))</f>
        <v>0</v>
      </c>
      <c r="AB169" s="41">
        <f>H169*AA169</f>
        <v>0</v>
      </c>
      <c r="AC169" s="41">
        <f>H169+AB169</f>
        <v>52969</v>
      </c>
      <c r="AD169" s="26">
        <f>AC169/O169</f>
        <v>0.84385853114545162</v>
      </c>
      <c r="AE16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70" spans="1:31" x14ac:dyDescent="0.3">
      <c r="A170">
        <v>1167</v>
      </c>
      <c r="B170" t="s">
        <v>29</v>
      </c>
      <c r="C170" t="s">
        <v>24</v>
      </c>
      <c r="D170">
        <v>2</v>
      </c>
      <c r="E170" t="s">
        <v>14</v>
      </c>
      <c r="F170" t="s">
        <v>24</v>
      </c>
      <c r="G170" t="s">
        <v>15</v>
      </c>
      <c r="H170" s="41">
        <v>52866</v>
      </c>
      <c r="I170" t="b">
        <v>0</v>
      </c>
      <c r="J170">
        <v>4</v>
      </c>
      <c r="K170" t="s">
        <v>19</v>
      </c>
      <c r="L170" s="1">
        <v>42518</v>
      </c>
      <c r="M170">
        <v>12</v>
      </c>
      <c r="N170" s="42">
        <f>VLOOKUP(B170,Market_Salary_Benchmarks!$A$1:$G$11,5,FALSE)</f>
        <v>48890</v>
      </c>
      <c r="O170" s="42">
        <f>VLOOKUP(B170,Market_Salary_Benchmarks!$A$1:$G$11,6,FALSE)</f>
        <v>62770</v>
      </c>
      <c r="P170" s="42">
        <f>VLOOKUP(B170,Market_Salary_Benchmarks!$A$1:$G$11,7,FALSE)</f>
        <v>82990</v>
      </c>
      <c r="Q170" s="26">
        <f>H170/O170</f>
        <v>0.8422176198821093</v>
      </c>
      <c r="R170" s="26">
        <f>(H170-N170)/(P170-N170)</f>
        <v>0.11659824046920821</v>
      </c>
      <c r="S170" s="23" t="str">
        <f>IF(H170 &lt; N170, "Below Market", IF(H170 &gt; P170, "Above Market", "At Market"))</f>
        <v>At Market</v>
      </c>
      <c r="T170" s="22" t="str">
        <f>B170 &amp; "-" &amp; D170</f>
        <v>HR Analyst-2</v>
      </c>
      <c r="U170" s="41">
        <f>AVERAGEIFS(H:H, K:K, "Female", B:B, B170, D:D, D170)</f>
        <v>56635.5</v>
      </c>
      <c r="V170" s="41">
        <f>AVERAGEIFS(H:H, K:K, "Male", B:B, B170, D:D, D170)</f>
        <v>59544.4</v>
      </c>
      <c r="W170" s="27">
        <f>(V170-U170)/V170</f>
        <v>4.8852620901377819E-2</v>
      </c>
      <c r="X170" s="23" t="str">
        <f>IF(ABS(W170) &gt;= 0.1, "High Risk",
 IF(ABS(W170) &gt;= 0.05, "Moderate Risk",
 "Low Risk"))</f>
        <v>Low Risk</v>
      </c>
      <c r="Y170" t="str">
        <f>IF(J170&gt;=3,"Yes","No")</f>
        <v>Yes</v>
      </c>
      <c r="Z170">
        <f>IF(TRIM(S170)="Below Market",1,
 IF(TRIM(S170)="At Market",2,
 IF(TRIM(S170)="Above Market",3,0)))</f>
        <v>2</v>
      </c>
      <c r="AA170" s="26" cm="1">
        <f t="array" ref="AA170">IF($Y170&lt;&gt;"Yes",0,INDEX(Merit_Matrix!$B$2:$D$4,MATCH($J170,Merit_Matrix!$A$2:$A$4,0),Z170))</f>
        <v>0.04</v>
      </c>
      <c r="AB170" s="41">
        <f>H170*AA170</f>
        <v>2114.64</v>
      </c>
      <c r="AC170" s="41">
        <f>H170+AB170</f>
        <v>54980.639999999999</v>
      </c>
      <c r="AD170" s="26">
        <f>AC170/O170</f>
        <v>0.8759063246773936</v>
      </c>
      <c r="AE17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71" spans="1:31" x14ac:dyDescent="0.3">
      <c r="A171">
        <v>1168</v>
      </c>
      <c r="B171" t="s">
        <v>17</v>
      </c>
      <c r="C171" t="s">
        <v>18</v>
      </c>
      <c r="D171">
        <v>2</v>
      </c>
      <c r="E171" t="s">
        <v>14</v>
      </c>
      <c r="F171" t="s">
        <v>18</v>
      </c>
      <c r="G171" t="s">
        <v>15</v>
      </c>
      <c r="H171" s="41">
        <v>60250</v>
      </c>
      <c r="I171" t="b">
        <v>0</v>
      </c>
      <c r="J171">
        <v>4</v>
      </c>
      <c r="K171" t="s">
        <v>19</v>
      </c>
      <c r="L171" s="1">
        <v>45161</v>
      </c>
      <c r="M171">
        <v>4</v>
      </c>
      <c r="N171" s="42">
        <f>VLOOKUP(B171,Market_Salary_Benchmarks!$A$1:$G$11,5,FALSE)</f>
        <v>81130</v>
      </c>
      <c r="O171" s="42">
        <f>VLOOKUP(B171,Market_Salary_Benchmarks!$A$1:$G$11,6,FALSE)</f>
        <v>103730</v>
      </c>
      <c r="P171" s="42">
        <f>VLOOKUP(B171,Market_Salary_Benchmarks!$A$1:$G$11,7,FALSE)</f>
        <v>132670</v>
      </c>
      <c r="Q171" s="26">
        <f>H171/O171</f>
        <v>0.58083485973199656</v>
      </c>
      <c r="R171" s="26">
        <f>(H171-N171)/(P171-N171)</f>
        <v>-0.4051222351571595</v>
      </c>
      <c r="S171" s="23" t="str">
        <f>IF(H171 &lt; N171, "Below Market", IF(H171 &gt; P171, "Above Market", "At Market"))</f>
        <v>Below Market</v>
      </c>
      <c r="T171" s="22" t="str">
        <f>B171 &amp; "-" &amp; D171</f>
        <v>IT Analyst-2</v>
      </c>
      <c r="U171" s="41">
        <f>AVERAGEIFS(H:H, K:K, "Female", B:B, B171, D:D, D171)</f>
        <v>55600.230769230766</v>
      </c>
      <c r="V171" s="41">
        <f>AVERAGEIFS(H:H, K:K, "Male", B:B, B171, D:D, D171)</f>
        <v>58468.727272727272</v>
      </c>
      <c r="W171" s="27">
        <f>(V171-U171)/V171</f>
        <v>4.9060354779340579E-2</v>
      </c>
      <c r="X171" s="23" t="str">
        <f>IF(ABS(W171) &gt;= 0.1, "High Risk",
 IF(ABS(W171) &gt;= 0.05, "Moderate Risk",
 "Low Risk"))</f>
        <v>Low Risk</v>
      </c>
      <c r="Y171" t="str">
        <f>IF(J171&gt;=3,"Yes","No")</f>
        <v>Yes</v>
      </c>
      <c r="Z171">
        <f>IF(TRIM(S171)="Below Market",1,
 IF(TRIM(S171)="At Market",2,
 IF(TRIM(S171)="Above Market",3,0)))</f>
        <v>1</v>
      </c>
      <c r="AA171" s="26" cm="1">
        <f t="array" ref="AA171">IF($Y171&lt;&gt;"Yes",0,INDEX(Merit_Matrix!$B$2:$D$4,MATCH($J171,Merit_Matrix!$A$2:$A$4,0),Z171))</f>
        <v>0.05</v>
      </c>
      <c r="AB171" s="41">
        <f>H171*AA171</f>
        <v>3012.5</v>
      </c>
      <c r="AC171" s="41">
        <f>H171+AB171</f>
        <v>63262.5</v>
      </c>
      <c r="AD171" s="26">
        <f>AC171/O171</f>
        <v>0.60987660271859634</v>
      </c>
      <c r="AE17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72" spans="1:31" x14ac:dyDescent="0.3">
      <c r="A172">
        <v>1169</v>
      </c>
      <c r="B172" t="s">
        <v>20</v>
      </c>
      <c r="C172" t="s">
        <v>13</v>
      </c>
      <c r="D172">
        <v>3</v>
      </c>
      <c r="E172" t="s">
        <v>21</v>
      </c>
      <c r="F172" t="s">
        <v>13</v>
      </c>
      <c r="G172" t="s">
        <v>15</v>
      </c>
      <c r="H172" s="41">
        <v>74150</v>
      </c>
      <c r="I172" t="b">
        <v>1</v>
      </c>
      <c r="J172">
        <v>5</v>
      </c>
      <c r="K172" t="s">
        <v>19</v>
      </c>
      <c r="L172" s="1">
        <v>43682</v>
      </c>
      <c r="M172">
        <v>11</v>
      </c>
      <c r="N172" s="42">
        <f>VLOOKUP(B172,Market_Salary_Benchmarks!$A$1:$G$11,5,FALSE)</f>
        <v>52500</v>
      </c>
      <c r="O172" s="42">
        <f>VLOOKUP(B172,Market_Salary_Benchmarks!$A$1:$G$11,6,FALSE)</f>
        <v>67210</v>
      </c>
      <c r="P172" s="42">
        <f>VLOOKUP(B172,Market_Salary_Benchmarks!$A$1:$G$11,7,FALSE)</f>
        <v>83970</v>
      </c>
      <c r="Q172" s="26">
        <f>H172/O172</f>
        <v>1.1032584436839756</v>
      </c>
      <c r="R172" s="26">
        <f>(H172-N172)/(P172-N172)</f>
        <v>0.68795678423895779</v>
      </c>
      <c r="S172" s="23" t="str">
        <f>IF(H172 &lt; N172, "Below Market", IF(H172 &gt; P172, "Above Market", "At Market"))</f>
        <v>At Market</v>
      </c>
      <c r="T172" s="22" t="str">
        <f>B172 &amp; "-" &amp; D172</f>
        <v>Operations Supervisor-3</v>
      </c>
      <c r="U172" s="41">
        <f>AVERAGEIFS(H:H, K:K, "Female", B:B, B172, D:D, D172)</f>
        <v>79072.21428571429</v>
      </c>
      <c r="V172" s="41">
        <f>AVERAGEIFS(H:H, K:K, "Male", B:B, B172, D:D, D172)</f>
        <v>76780.28571428571</v>
      </c>
      <c r="W172" s="27">
        <f>(V172-U172)/V172</f>
        <v>-2.9850482452713045E-2</v>
      </c>
      <c r="X172" s="23" t="str">
        <f>IF(ABS(W172) &gt;= 0.1, "High Risk",
 IF(ABS(W172) &gt;= 0.05, "Moderate Risk",
 "Low Risk"))</f>
        <v>Low Risk</v>
      </c>
      <c r="Y172" t="str">
        <f>IF(J172&gt;=3,"Yes","No")</f>
        <v>Yes</v>
      </c>
      <c r="Z172">
        <f>IF(TRIM(S172)="Below Market",1,
 IF(TRIM(S172)="At Market",2,
 IF(TRIM(S172)="Above Market",3,0)))</f>
        <v>2</v>
      </c>
      <c r="AA172" s="26" cm="1">
        <f t="array" ref="AA172">IF($Y172&lt;&gt;"Yes",0,INDEX(Merit_Matrix!$B$2:$D$4,MATCH($J172,Merit_Matrix!$A$2:$A$4,0),Z172))</f>
        <v>0.05</v>
      </c>
      <c r="AB172" s="41">
        <f>H172*AA172</f>
        <v>3707.5</v>
      </c>
      <c r="AC172" s="41">
        <f>H172+AB172</f>
        <v>77857.5</v>
      </c>
      <c r="AD172" s="26">
        <f>AC172/O172</f>
        <v>1.1584213658681743</v>
      </c>
      <c r="AE17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73" spans="1:31" x14ac:dyDescent="0.3">
      <c r="A173">
        <v>1170</v>
      </c>
      <c r="B173" t="s">
        <v>25</v>
      </c>
      <c r="C173" t="s">
        <v>26</v>
      </c>
      <c r="D173">
        <v>3</v>
      </c>
      <c r="E173" t="s">
        <v>14</v>
      </c>
      <c r="F173" t="s">
        <v>26</v>
      </c>
      <c r="G173" t="s">
        <v>15</v>
      </c>
      <c r="H173" s="41">
        <v>71762</v>
      </c>
      <c r="I173" t="b">
        <v>1</v>
      </c>
      <c r="J173">
        <v>4</v>
      </c>
      <c r="K173" t="s">
        <v>19</v>
      </c>
      <c r="L173" s="1">
        <v>42734</v>
      </c>
      <c r="M173">
        <v>12</v>
      </c>
      <c r="N173" s="42">
        <f>VLOOKUP(B173,Market_Salary_Benchmarks!$A$1:$G$11,5,FALSE)</f>
        <v>49460</v>
      </c>
      <c r="O173" s="42">
        <f>VLOOKUP(B173,Market_Salary_Benchmarks!$A$1:$G$11,6,FALSE)</f>
        <v>78370</v>
      </c>
      <c r="P173" s="42">
        <f>VLOOKUP(B173,Market_Salary_Benchmarks!$A$1:$G$11,7,FALSE)</f>
        <v>104330</v>
      </c>
      <c r="Q173" s="26">
        <f>H173/O173</f>
        <v>0.9156820211815746</v>
      </c>
      <c r="R173" s="26">
        <f>(H173-N173)/(P173-N173)</f>
        <v>0.40645161290322579</v>
      </c>
      <c r="S173" s="23" t="str">
        <f>IF(H173 &lt; N173, "Below Market", IF(H173 &gt; P173, "Above Market", "At Market"))</f>
        <v>At Market</v>
      </c>
      <c r="T173" s="22" t="str">
        <f>B173 &amp; "-" &amp; D173</f>
        <v>Financial Analyst-3</v>
      </c>
      <c r="U173" s="41">
        <f>AVERAGEIFS(H:H, K:K, "Female", B:B, B173, D:D, D173)</f>
        <v>76962.636363636368</v>
      </c>
      <c r="V173" s="41">
        <f>AVERAGEIFS(H:H, K:K, "Male", B:B, B173, D:D, D173)</f>
        <v>77416</v>
      </c>
      <c r="W173" s="27">
        <f>(V173-U173)/V173</f>
        <v>5.8562007383955823E-3</v>
      </c>
      <c r="X173" s="23" t="str">
        <f>IF(ABS(W173) &gt;= 0.1, "High Risk",
 IF(ABS(W173) &gt;= 0.05, "Moderate Risk",
 "Low Risk"))</f>
        <v>Low Risk</v>
      </c>
      <c r="Y173" t="str">
        <f>IF(J173&gt;=3,"Yes","No")</f>
        <v>Yes</v>
      </c>
      <c r="Z173">
        <f>IF(TRIM(S173)="Below Market",1,
 IF(TRIM(S173)="At Market",2,
 IF(TRIM(S173)="Above Market",3,0)))</f>
        <v>2</v>
      </c>
      <c r="AA173" s="26" cm="1">
        <f t="array" ref="AA173">IF($Y173&lt;&gt;"Yes",0,INDEX(Merit_Matrix!$B$2:$D$4,MATCH($J173,Merit_Matrix!$A$2:$A$4,0),Z173))</f>
        <v>0.04</v>
      </c>
      <c r="AB173" s="41">
        <f>H173*AA173</f>
        <v>2870.48</v>
      </c>
      <c r="AC173" s="41">
        <f>H173+AB173</f>
        <v>74632.479999999996</v>
      </c>
      <c r="AD173" s="26">
        <f>AC173/O173</f>
        <v>0.95230930202883757</v>
      </c>
      <c r="AE173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74" spans="1:31" x14ac:dyDescent="0.3">
      <c r="A174">
        <v>1171</v>
      </c>
      <c r="B174" t="s">
        <v>28</v>
      </c>
      <c r="C174" t="s">
        <v>24</v>
      </c>
      <c r="D174">
        <v>3</v>
      </c>
      <c r="E174" t="s">
        <v>14</v>
      </c>
      <c r="F174" t="s">
        <v>24</v>
      </c>
      <c r="G174" t="s">
        <v>15</v>
      </c>
      <c r="H174" s="41">
        <v>70153</v>
      </c>
      <c r="I174" t="b">
        <v>1</v>
      </c>
      <c r="J174">
        <v>2</v>
      </c>
      <c r="K174" t="s">
        <v>19</v>
      </c>
      <c r="L174" s="1">
        <v>44713</v>
      </c>
      <c r="M174">
        <v>2</v>
      </c>
      <c r="N174" s="42">
        <f>VLOOKUP(B174,Market_Salary_Benchmarks!$A$1:$G$11,5,FALSE)</f>
        <v>50970</v>
      </c>
      <c r="O174" s="42">
        <f>VLOOKUP(B174,Market_Salary_Benchmarks!$A$1:$G$11,6,FALSE)</f>
        <v>56720</v>
      </c>
      <c r="P174" s="42">
        <f>VLOOKUP(B174,Market_Salary_Benchmarks!$A$1:$G$11,7,FALSE)</f>
        <v>75360</v>
      </c>
      <c r="Q174" s="26">
        <f>H174/O174</f>
        <v>1.2368300423131171</v>
      </c>
      <c r="R174" s="26">
        <f>(H174-N174)/(P174-N174)</f>
        <v>0.78651086510865109</v>
      </c>
      <c r="S174" s="23" t="str">
        <f>IF(H174 &lt; N174, "Below Market", IF(H174 &gt; P174, "Above Market", "At Market"))</f>
        <v>At Market</v>
      </c>
      <c r="T174" s="22" t="str">
        <f>B174 &amp; "-" &amp; D174</f>
        <v>Compensation Analyst-3</v>
      </c>
      <c r="U174" s="41">
        <f>AVERAGEIFS(H:H, K:K, "Female", B:B, B174, D:D, D174)</f>
        <v>76621.166666666672</v>
      </c>
      <c r="V174" s="41">
        <f>AVERAGEIFS(H:H, K:K, "Male", B:B, B174, D:D, D174)</f>
        <v>77763.875</v>
      </c>
      <c r="W174" s="27">
        <f>(V174-U174)/V174</f>
        <v>1.4694590943845436E-2</v>
      </c>
      <c r="X174" s="23" t="str">
        <f>IF(ABS(W174) &gt;= 0.1, "High Risk",
 IF(ABS(W174) &gt;= 0.05, "Moderate Risk",
 "Low Risk"))</f>
        <v>Low Risk</v>
      </c>
      <c r="Y174" t="str">
        <f>IF(J174&gt;=3,"Yes","No")</f>
        <v>No</v>
      </c>
      <c r="Z174">
        <f>IF(TRIM(S174)="Below Market",1,
 IF(TRIM(S174)="At Market",2,
 IF(TRIM(S174)="Above Market",3,0)))</f>
        <v>2</v>
      </c>
      <c r="AA174" s="26" cm="1">
        <f t="array" ref="AA174">IF($Y174&lt;&gt;"Yes",0,INDEX(Merit_Matrix!$B$2:$D$4,MATCH($J174,Merit_Matrix!$A$2:$A$4,0),Z174))</f>
        <v>0</v>
      </c>
      <c r="AB174" s="41">
        <f>H174*AA174</f>
        <v>0</v>
      </c>
      <c r="AC174" s="41">
        <f>H174+AB174</f>
        <v>70153</v>
      </c>
      <c r="AD174" s="26">
        <f>AC174/O174</f>
        <v>1.2368300423131171</v>
      </c>
      <c r="AE174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75" spans="1:31" x14ac:dyDescent="0.3">
      <c r="A175">
        <v>1172</v>
      </c>
      <c r="B175" t="s">
        <v>29</v>
      </c>
      <c r="C175" t="s">
        <v>24</v>
      </c>
      <c r="D175">
        <v>2</v>
      </c>
      <c r="E175" t="s">
        <v>14</v>
      </c>
      <c r="F175" t="s">
        <v>24</v>
      </c>
      <c r="G175" t="s">
        <v>15</v>
      </c>
      <c r="H175" s="41">
        <v>51240</v>
      </c>
      <c r="I175" t="b">
        <v>0</v>
      </c>
      <c r="J175">
        <v>3</v>
      </c>
      <c r="K175" t="s">
        <v>19</v>
      </c>
      <c r="L175" s="1">
        <v>43432</v>
      </c>
      <c r="M175">
        <v>4</v>
      </c>
      <c r="N175" s="42">
        <f>VLOOKUP(B175,Market_Salary_Benchmarks!$A$1:$G$11,5,FALSE)</f>
        <v>48890</v>
      </c>
      <c r="O175" s="42">
        <f>VLOOKUP(B175,Market_Salary_Benchmarks!$A$1:$G$11,6,FALSE)</f>
        <v>62770</v>
      </c>
      <c r="P175" s="42">
        <f>VLOOKUP(B175,Market_Salary_Benchmarks!$A$1:$G$11,7,FALSE)</f>
        <v>82990</v>
      </c>
      <c r="Q175" s="26">
        <f>H175/O175</f>
        <v>0.81631352556953962</v>
      </c>
      <c r="R175" s="26">
        <f>(H175-N175)/(P175-N175)</f>
        <v>6.89149560117302E-2</v>
      </c>
      <c r="S175" s="23" t="str">
        <f>IF(H175 &lt; N175, "Below Market", IF(H175 &gt; P175, "Above Market", "At Market"))</f>
        <v>At Market</v>
      </c>
      <c r="T175" s="22" t="str">
        <f>B175 &amp; "-" &amp; D175</f>
        <v>HR Analyst-2</v>
      </c>
      <c r="U175" s="41">
        <f>AVERAGEIFS(H:H, K:K, "Female", B:B, B175, D:D, D175)</f>
        <v>56635.5</v>
      </c>
      <c r="V175" s="41">
        <f>AVERAGEIFS(H:H, K:K, "Male", B:B, B175, D:D, D175)</f>
        <v>59544.4</v>
      </c>
      <c r="W175" s="27">
        <f>(V175-U175)/V175</f>
        <v>4.8852620901377819E-2</v>
      </c>
      <c r="X175" s="23" t="str">
        <f>IF(ABS(W175) &gt;= 0.1, "High Risk",
 IF(ABS(W175) &gt;= 0.05, "Moderate Risk",
 "Low Risk"))</f>
        <v>Low Risk</v>
      </c>
      <c r="Y175" t="str">
        <f>IF(J175&gt;=3,"Yes","No")</f>
        <v>Yes</v>
      </c>
      <c r="Z175">
        <f>IF(TRIM(S175)="Below Market",1,
 IF(TRIM(S175)="At Market",2,
 IF(TRIM(S175)="Above Market",3,0)))</f>
        <v>2</v>
      </c>
      <c r="AA175" s="26" cm="1">
        <f t="array" ref="AA175">IF($Y175&lt;&gt;"Yes",0,INDEX(Merit_Matrix!$B$2:$D$4,MATCH($J175,Merit_Matrix!$A$2:$A$4,0),Z175))</f>
        <v>0.03</v>
      </c>
      <c r="AB175" s="41">
        <f>H175*AA175</f>
        <v>1537.2</v>
      </c>
      <c r="AC175" s="41">
        <f>H175+AB175</f>
        <v>52777.2</v>
      </c>
      <c r="AD175" s="26">
        <f>AC175/O175</f>
        <v>0.84080293133662576</v>
      </c>
      <c r="AE17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76" spans="1:31" x14ac:dyDescent="0.3">
      <c r="A176">
        <v>1173</v>
      </c>
      <c r="B176" t="s">
        <v>30</v>
      </c>
      <c r="C176" t="s">
        <v>24</v>
      </c>
      <c r="D176">
        <v>2</v>
      </c>
      <c r="E176" t="s">
        <v>21</v>
      </c>
      <c r="F176" t="s">
        <v>24</v>
      </c>
      <c r="G176" t="s">
        <v>15</v>
      </c>
      <c r="H176" s="41">
        <v>61761</v>
      </c>
      <c r="I176" t="b">
        <v>0</v>
      </c>
      <c r="J176">
        <v>5</v>
      </c>
      <c r="K176" t="s">
        <v>16</v>
      </c>
      <c r="L176" s="1">
        <v>45283</v>
      </c>
      <c r="M176">
        <v>13</v>
      </c>
      <c r="N176" s="42">
        <f>VLOOKUP(B176,Market_Salary_Benchmarks!$A$1:$G$11,5,FALSE)</f>
        <v>37930</v>
      </c>
      <c r="O176" s="42">
        <f>VLOOKUP(B176,Market_Salary_Benchmarks!$A$1:$G$11,6,FALSE)</f>
        <v>45470</v>
      </c>
      <c r="P176" s="42">
        <f>VLOOKUP(B176,Market_Salary_Benchmarks!$A$1:$G$11,7,FALSE)</f>
        <v>54160</v>
      </c>
      <c r="Q176" s="26">
        <f>H176/O176</f>
        <v>1.3582801847371893</v>
      </c>
      <c r="R176" s="26">
        <f>(H176-N176)/(P176-N176)</f>
        <v>1.4683302526186075</v>
      </c>
      <c r="S176" s="23" t="str">
        <f>IF(H176 &lt; N176, "Below Market", IF(H176 &gt; P176, "Above Market", "At Market"))</f>
        <v>Above Market</v>
      </c>
      <c r="T176" s="22" t="str">
        <f>B176 &amp; "-" &amp; D176</f>
        <v>Payroll Specialist-2</v>
      </c>
      <c r="U176" s="41">
        <f>AVERAGEIFS(H:H, K:K, "Female", B:B, B176, D:D, D176)</f>
        <v>58334.555555555555</v>
      </c>
      <c r="V176" s="41">
        <f>AVERAGEIFS(H:H, K:K, "Male", B:B, B176, D:D, D176)</f>
        <v>56264.5</v>
      </c>
      <c r="W176" s="27">
        <f>(V176-U176)/V176</f>
        <v>-3.6791503622276123E-2</v>
      </c>
      <c r="X176" s="23" t="str">
        <f>IF(ABS(W176) &gt;= 0.1, "High Risk",
 IF(ABS(W176) &gt;= 0.05, "Moderate Risk",
 "Low Risk"))</f>
        <v>Low Risk</v>
      </c>
      <c r="Y176" t="str">
        <f>IF(J176&gt;=3,"Yes","No")</f>
        <v>Yes</v>
      </c>
      <c r="Z176">
        <f>IF(TRIM(S176)="Below Market",1,
 IF(TRIM(S176)="At Market",2,
 IF(TRIM(S176)="Above Market",3,0)))</f>
        <v>3</v>
      </c>
      <c r="AA176" s="26" cm="1">
        <f t="array" ref="AA176">IF($Y176&lt;&gt;"Yes",0,INDEX(Merit_Matrix!$B$2:$D$4,MATCH($J176,Merit_Matrix!$A$2:$A$4,0),Z176))</f>
        <v>0.04</v>
      </c>
      <c r="AB176" s="41">
        <f>H176*AA176</f>
        <v>2470.44</v>
      </c>
      <c r="AC176" s="41">
        <f>H176+AB176</f>
        <v>64231.44</v>
      </c>
      <c r="AD176" s="26">
        <f>AC176/O176</f>
        <v>1.412611392126677</v>
      </c>
      <c r="AE176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77" spans="1:31" x14ac:dyDescent="0.3">
      <c r="A177">
        <v>1174</v>
      </c>
      <c r="B177" t="s">
        <v>30</v>
      </c>
      <c r="C177" t="s">
        <v>24</v>
      </c>
      <c r="D177">
        <v>2</v>
      </c>
      <c r="E177" t="s">
        <v>21</v>
      </c>
      <c r="F177" t="s">
        <v>24</v>
      </c>
      <c r="G177" t="s">
        <v>15</v>
      </c>
      <c r="H177" s="41">
        <v>59828</v>
      </c>
      <c r="I177" t="b">
        <v>0</v>
      </c>
      <c r="J177">
        <v>5</v>
      </c>
      <c r="K177" t="s">
        <v>19</v>
      </c>
      <c r="L177" s="1">
        <v>43410</v>
      </c>
      <c r="M177">
        <v>11</v>
      </c>
      <c r="N177" s="42">
        <f>VLOOKUP(B177,Market_Salary_Benchmarks!$A$1:$G$11,5,FALSE)</f>
        <v>37930</v>
      </c>
      <c r="O177" s="42">
        <f>VLOOKUP(B177,Market_Salary_Benchmarks!$A$1:$G$11,6,FALSE)</f>
        <v>45470</v>
      </c>
      <c r="P177" s="42">
        <f>VLOOKUP(B177,Market_Salary_Benchmarks!$A$1:$G$11,7,FALSE)</f>
        <v>54160</v>
      </c>
      <c r="Q177" s="26">
        <f>H177/O177</f>
        <v>1.3157686386628547</v>
      </c>
      <c r="R177" s="26">
        <f>(H177-N177)/(P177-N177)</f>
        <v>1.3492298213185459</v>
      </c>
      <c r="S177" s="23" t="str">
        <f>IF(H177 &lt; N177, "Below Market", IF(H177 &gt; P177, "Above Market", "At Market"))</f>
        <v>Above Market</v>
      </c>
      <c r="T177" s="22" t="str">
        <f>B177 &amp; "-" &amp; D177</f>
        <v>Payroll Specialist-2</v>
      </c>
      <c r="U177" s="41">
        <f>AVERAGEIFS(H:H, K:K, "Female", B:B, B177, D:D, D177)</f>
        <v>58334.555555555555</v>
      </c>
      <c r="V177" s="41">
        <f>AVERAGEIFS(H:H, K:K, "Male", B:B, B177, D:D, D177)</f>
        <v>56264.5</v>
      </c>
      <c r="W177" s="27">
        <f>(V177-U177)/V177</f>
        <v>-3.6791503622276123E-2</v>
      </c>
      <c r="X177" s="23" t="str">
        <f>IF(ABS(W177) &gt;= 0.1, "High Risk",
 IF(ABS(W177) &gt;= 0.05, "Moderate Risk",
 "Low Risk"))</f>
        <v>Low Risk</v>
      </c>
      <c r="Y177" t="str">
        <f>IF(J177&gt;=3,"Yes","No")</f>
        <v>Yes</v>
      </c>
      <c r="Z177">
        <f>IF(TRIM(S177)="Below Market",1,
 IF(TRIM(S177)="At Market",2,
 IF(TRIM(S177)="Above Market",3,0)))</f>
        <v>3</v>
      </c>
      <c r="AA177" s="26" cm="1">
        <f t="array" ref="AA177">IF($Y177&lt;&gt;"Yes",0,INDEX(Merit_Matrix!$B$2:$D$4,MATCH($J177,Merit_Matrix!$A$2:$A$4,0),Z177))</f>
        <v>0.04</v>
      </c>
      <c r="AB177" s="41">
        <f>H177*AA177</f>
        <v>2393.12</v>
      </c>
      <c r="AC177" s="41">
        <f>H177+AB177</f>
        <v>62221.120000000003</v>
      </c>
      <c r="AD177" s="26">
        <f>AC177/O177</f>
        <v>1.3683993842093689</v>
      </c>
      <c r="AE177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78" spans="1:31" x14ac:dyDescent="0.3">
      <c r="A178">
        <v>1175</v>
      </c>
      <c r="B178" t="s">
        <v>22</v>
      </c>
      <c r="C178" t="s">
        <v>18</v>
      </c>
      <c r="D178">
        <v>3</v>
      </c>
      <c r="E178" t="s">
        <v>14</v>
      </c>
      <c r="F178" t="s">
        <v>18</v>
      </c>
      <c r="G178" t="s">
        <v>15</v>
      </c>
      <c r="H178" s="41">
        <v>83808</v>
      </c>
      <c r="I178" t="b">
        <v>1</v>
      </c>
      <c r="J178">
        <v>5</v>
      </c>
      <c r="K178" t="s">
        <v>19</v>
      </c>
      <c r="L178" s="1">
        <v>44169</v>
      </c>
      <c r="M178">
        <v>6</v>
      </c>
      <c r="N178" s="42">
        <f>VLOOKUP(B178,Market_Salary_Benchmarks!$A$1:$G$11,5,FALSE)</f>
        <v>103040</v>
      </c>
      <c r="O178" s="42">
        <f>VLOOKUP(B178,Market_Salary_Benchmarks!$A$1:$G$11,6,FALSE)</f>
        <v>133500</v>
      </c>
      <c r="P178" s="42">
        <f>VLOOKUP(B178,Market_Salary_Benchmarks!$A$1:$G$11,7,FALSE)</f>
        <v>171680</v>
      </c>
      <c r="Q178" s="26">
        <f>H178/O178</f>
        <v>0.62777528089887635</v>
      </c>
      <c r="R178" s="26">
        <f>(H178-N178)/(P178-N178)</f>
        <v>-0.28018648018648018</v>
      </c>
      <c r="S178" s="23" t="str">
        <f>IF(H178 &lt; N178, "Below Market", IF(H178 &gt; P178, "Above Market", "At Market"))</f>
        <v>Below Market</v>
      </c>
      <c r="T178" s="22" t="str">
        <f>B178 &amp; "-" &amp; D178</f>
        <v>Senior IT Analyst-3</v>
      </c>
      <c r="U178" s="41">
        <f>AVERAGEIFS(H:H, K:K, "Female", B:B, B178, D:D, D178)</f>
        <v>78401.571428571435</v>
      </c>
      <c r="V178" s="41">
        <f>AVERAGEIFS(H:H, K:K, "Male", B:B, B178, D:D, D178)</f>
        <v>75875.125</v>
      </c>
      <c r="W178" s="27">
        <f>(V178-U178)/V178</f>
        <v>-3.3297426904686282E-2</v>
      </c>
      <c r="X178" s="23" t="str">
        <f>IF(ABS(W178) &gt;= 0.1, "High Risk",
 IF(ABS(W178) &gt;= 0.05, "Moderate Risk",
 "Low Risk"))</f>
        <v>Low Risk</v>
      </c>
      <c r="Y178" t="str">
        <f>IF(J178&gt;=3,"Yes","No")</f>
        <v>Yes</v>
      </c>
      <c r="Z178">
        <f>IF(TRIM(S178)="Below Market",1,
 IF(TRIM(S178)="At Market",2,
 IF(TRIM(S178)="Above Market",3,0)))</f>
        <v>1</v>
      </c>
      <c r="AA178" s="26" cm="1">
        <f t="array" ref="AA178">IF($Y178&lt;&gt;"Yes",0,INDEX(Merit_Matrix!$B$2:$D$4,MATCH($J178,Merit_Matrix!$A$2:$A$4,0),Z178))</f>
        <v>0.06</v>
      </c>
      <c r="AB178" s="41">
        <f>H178*AA178</f>
        <v>5028.4799999999996</v>
      </c>
      <c r="AC178" s="41">
        <f>H178+AB178</f>
        <v>88836.479999999996</v>
      </c>
      <c r="AD178" s="26">
        <f>AC178/O178</f>
        <v>0.66544179775280898</v>
      </c>
      <c r="AE178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79" spans="1:31" x14ac:dyDescent="0.3">
      <c r="A179">
        <v>1176</v>
      </c>
      <c r="B179" t="s">
        <v>29</v>
      </c>
      <c r="C179" t="s">
        <v>24</v>
      </c>
      <c r="D179">
        <v>2</v>
      </c>
      <c r="E179" t="s">
        <v>14</v>
      </c>
      <c r="F179" t="s">
        <v>24</v>
      </c>
      <c r="G179" t="s">
        <v>15</v>
      </c>
      <c r="H179" s="41">
        <v>51750</v>
      </c>
      <c r="I179" t="b">
        <v>0</v>
      </c>
      <c r="J179">
        <v>3</v>
      </c>
      <c r="K179" t="s">
        <v>16</v>
      </c>
      <c r="L179" s="1">
        <v>44883</v>
      </c>
      <c r="M179">
        <v>10</v>
      </c>
      <c r="N179" s="42">
        <f>VLOOKUP(B179,Market_Salary_Benchmarks!$A$1:$G$11,5,FALSE)</f>
        <v>48890</v>
      </c>
      <c r="O179" s="42">
        <f>VLOOKUP(B179,Market_Salary_Benchmarks!$A$1:$G$11,6,FALSE)</f>
        <v>62770</v>
      </c>
      <c r="P179" s="42">
        <f>VLOOKUP(B179,Market_Salary_Benchmarks!$A$1:$G$11,7,FALSE)</f>
        <v>82990</v>
      </c>
      <c r="Q179" s="26">
        <f>H179/O179</f>
        <v>0.82443842599968142</v>
      </c>
      <c r="R179" s="26">
        <f>(H179-N179)/(P179-N179)</f>
        <v>8.387096774193549E-2</v>
      </c>
      <c r="S179" s="23" t="str">
        <f>IF(H179 &lt; N179, "Below Market", IF(H179 &gt; P179, "Above Market", "At Market"))</f>
        <v>At Market</v>
      </c>
      <c r="T179" s="22" t="str">
        <f>B179 &amp; "-" &amp; D179</f>
        <v>HR Analyst-2</v>
      </c>
      <c r="U179" s="41">
        <f>AVERAGEIFS(H:H, K:K, "Female", B:B, B179, D:D, D179)</f>
        <v>56635.5</v>
      </c>
      <c r="V179" s="41">
        <f>AVERAGEIFS(H:H, K:K, "Male", B:B, B179, D:D, D179)</f>
        <v>59544.4</v>
      </c>
      <c r="W179" s="27">
        <f>(V179-U179)/V179</f>
        <v>4.8852620901377819E-2</v>
      </c>
      <c r="X179" s="23" t="str">
        <f>IF(ABS(W179) &gt;= 0.1, "High Risk",
 IF(ABS(W179) &gt;= 0.05, "Moderate Risk",
 "Low Risk"))</f>
        <v>Low Risk</v>
      </c>
      <c r="Y179" t="str">
        <f>IF(J179&gt;=3,"Yes","No")</f>
        <v>Yes</v>
      </c>
      <c r="Z179">
        <f>IF(TRIM(S179)="Below Market",1,
 IF(TRIM(S179)="At Market",2,
 IF(TRIM(S179)="Above Market",3,0)))</f>
        <v>2</v>
      </c>
      <c r="AA179" s="26" cm="1">
        <f t="array" ref="AA179">IF($Y179&lt;&gt;"Yes",0,INDEX(Merit_Matrix!$B$2:$D$4,MATCH($J179,Merit_Matrix!$A$2:$A$4,0),Z179))</f>
        <v>0.03</v>
      </c>
      <c r="AB179" s="41">
        <f>H179*AA179</f>
        <v>1552.5</v>
      </c>
      <c r="AC179" s="41">
        <f>H179+AB179</f>
        <v>53302.5</v>
      </c>
      <c r="AD179" s="26">
        <f>AC179/O179</f>
        <v>0.84917157877967187</v>
      </c>
      <c r="AE17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80" spans="1:31" x14ac:dyDescent="0.3">
      <c r="A180">
        <v>1177</v>
      </c>
      <c r="B180" t="s">
        <v>23</v>
      </c>
      <c r="C180" t="s">
        <v>24</v>
      </c>
      <c r="D180">
        <v>4</v>
      </c>
      <c r="E180" t="s">
        <v>14</v>
      </c>
      <c r="F180" t="s">
        <v>24</v>
      </c>
      <c r="G180" t="s">
        <v>15</v>
      </c>
      <c r="H180" s="41">
        <v>101849</v>
      </c>
      <c r="I180" t="b">
        <v>1</v>
      </c>
      <c r="J180">
        <v>1</v>
      </c>
      <c r="K180" t="s">
        <v>16</v>
      </c>
      <c r="L180" s="1">
        <v>43409</v>
      </c>
      <c r="M180">
        <v>8</v>
      </c>
      <c r="N180" s="42">
        <f>VLOOKUP(B180,Market_Salary_Benchmarks!$A$1:$G$11,5,FALSE)</f>
        <v>82620</v>
      </c>
      <c r="O180" s="42">
        <f>VLOOKUP(B180,Market_Salary_Benchmarks!$A$1:$G$11,6,FALSE)</f>
        <v>110030</v>
      </c>
      <c r="P180" s="42">
        <f>VLOOKUP(B180,Market_Salary_Benchmarks!$A$1:$G$11,7,FALSE)</f>
        <v>146810</v>
      </c>
      <c r="Q180" s="26">
        <f>H180/O180</f>
        <v>0.92564755066799964</v>
      </c>
      <c r="R180" s="26">
        <f>(H180-N180)/(P180-N180)</f>
        <v>0.29956379498364233</v>
      </c>
      <c r="S180" s="23" t="str">
        <f>IF(H180 &lt; N180, "Below Market", IF(H180 &gt; P180, "Above Market", "At Market"))</f>
        <v>At Market</v>
      </c>
      <c r="T180" s="22" t="str">
        <f>B180 &amp; "-" &amp; D180</f>
        <v>HR Manager-4</v>
      </c>
      <c r="U180" s="41">
        <f>AVERAGEIFS(H:H, K:K, "Female", B:B, B180, D:D, D180)</f>
        <v>97910.769230769234</v>
      </c>
      <c r="V180" s="41">
        <f>AVERAGEIFS(H:H, K:K, "Male", B:B, B180, D:D, D180)</f>
        <v>96300.666666666672</v>
      </c>
      <c r="W180" s="27">
        <f>(V180-U180)/V180</f>
        <v>-1.6719537048229805E-2</v>
      </c>
      <c r="X180" s="23" t="str">
        <f>IF(ABS(W180) &gt;= 0.1, "High Risk",
 IF(ABS(W180) &gt;= 0.05, "Moderate Risk",
 "Low Risk"))</f>
        <v>Low Risk</v>
      </c>
      <c r="Y180" t="str">
        <f>IF(J180&gt;=3,"Yes","No")</f>
        <v>No</v>
      </c>
      <c r="Z180">
        <f>IF(TRIM(S180)="Below Market",1,
 IF(TRIM(S180)="At Market",2,
 IF(TRIM(S180)="Above Market",3,0)))</f>
        <v>2</v>
      </c>
      <c r="AA180" s="26" cm="1">
        <f t="array" ref="AA180">IF($Y180&lt;&gt;"Yes",0,INDEX(Merit_Matrix!$B$2:$D$4,MATCH($J180,Merit_Matrix!$A$2:$A$4,0),Z180))</f>
        <v>0</v>
      </c>
      <c r="AB180" s="41">
        <f>H180*AA180</f>
        <v>0</v>
      </c>
      <c r="AC180" s="41">
        <f>H180+AB180</f>
        <v>101849</v>
      </c>
      <c r="AD180" s="26">
        <f>AC180/O180</f>
        <v>0.92564755066799964</v>
      </c>
      <c r="AE180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81" spans="1:31" x14ac:dyDescent="0.3">
      <c r="A181">
        <v>1178</v>
      </c>
      <c r="B181" t="s">
        <v>29</v>
      </c>
      <c r="C181" t="s">
        <v>24</v>
      </c>
      <c r="D181">
        <v>2</v>
      </c>
      <c r="E181" t="s">
        <v>14</v>
      </c>
      <c r="F181" t="s">
        <v>24</v>
      </c>
      <c r="G181" t="s">
        <v>15</v>
      </c>
      <c r="H181" s="41">
        <v>62182</v>
      </c>
      <c r="I181" t="b">
        <v>0</v>
      </c>
      <c r="J181">
        <v>1</v>
      </c>
      <c r="K181" t="s">
        <v>19</v>
      </c>
      <c r="L181" s="1">
        <v>42506</v>
      </c>
      <c r="M181">
        <v>4</v>
      </c>
      <c r="N181" s="42">
        <f>VLOOKUP(B181,Market_Salary_Benchmarks!$A$1:$G$11,5,FALSE)</f>
        <v>48890</v>
      </c>
      <c r="O181" s="42">
        <f>VLOOKUP(B181,Market_Salary_Benchmarks!$A$1:$G$11,6,FALSE)</f>
        <v>62770</v>
      </c>
      <c r="P181" s="42">
        <f>VLOOKUP(B181,Market_Salary_Benchmarks!$A$1:$G$11,7,FALSE)</f>
        <v>82990</v>
      </c>
      <c r="Q181" s="26">
        <f>H181/O181</f>
        <v>0.99063246773936597</v>
      </c>
      <c r="R181" s="26">
        <f>(H181-N181)/(P181-N181)</f>
        <v>0.38979472140762461</v>
      </c>
      <c r="S181" s="23" t="str">
        <f>IF(H181 &lt; N181, "Below Market", IF(H181 &gt; P181, "Above Market", "At Market"))</f>
        <v>At Market</v>
      </c>
      <c r="T181" s="22" t="str">
        <f>B181 &amp; "-" &amp; D181</f>
        <v>HR Analyst-2</v>
      </c>
      <c r="U181" s="41">
        <f>AVERAGEIFS(H:H, K:K, "Female", B:B, B181, D:D, D181)</f>
        <v>56635.5</v>
      </c>
      <c r="V181" s="41">
        <f>AVERAGEIFS(H:H, K:K, "Male", B:B, B181, D:D, D181)</f>
        <v>59544.4</v>
      </c>
      <c r="W181" s="27">
        <f>(V181-U181)/V181</f>
        <v>4.8852620901377819E-2</v>
      </c>
      <c r="X181" s="23" t="str">
        <f>IF(ABS(W181) &gt;= 0.1, "High Risk",
 IF(ABS(W181) &gt;= 0.05, "Moderate Risk",
 "Low Risk"))</f>
        <v>Low Risk</v>
      </c>
      <c r="Y181" t="str">
        <f>IF(J181&gt;=3,"Yes","No")</f>
        <v>No</v>
      </c>
      <c r="Z181">
        <f>IF(TRIM(S181)="Below Market",1,
 IF(TRIM(S181)="At Market",2,
 IF(TRIM(S181)="Above Market",3,0)))</f>
        <v>2</v>
      </c>
      <c r="AA181" s="26" cm="1">
        <f t="array" ref="AA181">IF($Y181&lt;&gt;"Yes",0,INDEX(Merit_Matrix!$B$2:$D$4,MATCH($J181,Merit_Matrix!$A$2:$A$4,0),Z181))</f>
        <v>0</v>
      </c>
      <c r="AB181" s="41">
        <f>H181*AA181</f>
        <v>0</v>
      </c>
      <c r="AC181" s="41">
        <f>H181+AB181</f>
        <v>62182</v>
      </c>
      <c r="AD181" s="26">
        <f>AC181/O181</f>
        <v>0.99063246773936597</v>
      </c>
      <c r="AE181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82" spans="1:31" x14ac:dyDescent="0.3">
      <c r="A182">
        <v>1179</v>
      </c>
      <c r="B182" t="s">
        <v>17</v>
      </c>
      <c r="C182" t="s">
        <v>18</v>
      </c>
      <c r="D182">
        <v>2</v>
      </c>
      <c r="E182" t="s">
        <v>14</v>
      </c>
      <c r="F182" t="s">
        <v>18</v>
      </c>
      <c r="G182" t="s">
        <v>15</v>
      </c>
      <c r="H182" s="41">
        <v>51521</v>
      </c>
      <c r="I182" t="b">
        <v>0</v>
      </c>
      <c r="J182">
        <v>3</v>
      </c>
      <c r="K182" t="s">
        <v>16</v>
      </c>
      <c r="L182" s="1">
        <v>44789</v>
      </c>
      <c r="M182">
        <v>8</v>
      </c>
      <c r="N182" s="42">
        <f>VLOOKUP(B182,Market_Salary_Benchmarks!$A$1:$G$11,5,FALSE)</f>
        <v>81130</v>
      </c>
      <c r="O182" s="42">
        <f>VLOOKUP(B182,Market_Salary_Benchmarks!$A$1:$G$11,6,FALSE)</f>
        <v>103730</v>
      </c>
      <c r="P182" s="42">
        <f>VLOOKUP(B182,Market_Salary_Benchmarks!$A$1:$G$11,7,FALSE)</f>
        <v>132670</v>
      </c>
      <c r="Q182" s="26">
        <f>H182/O182</f>
        <v>0.49668369806227708</v>
      </c>
      <c r="R182" s="26">
        <f>(H182-N182)/(P182-N182)</f>
        <v>-0.5744858362436942</v>
      </c>
      <c r="S182" s="23" t="str">
        <f>IF(H182 &lt; N182, "Below Market", IF(H182 &gt; P182, "Above Market", "At Market"))</f>
        <v>Below Market</v>
      </c>
      <c r="T182" s="22" t="str">
        <f>B182 &amp; "-" &amp; D182</f>
        <v>IT Analyst-2</v>
      </c>
      <c r="U182" s="41">
        <f>AVERAGEIFS(H:H, K:K, "Female", B:B, B182, D:D, D182)</f>
        <v>55600.230769230766</v>
      </c>
      <c r="V182" s="41">
        <f>AVERAGEIFS(H:H, K:K, "Male", B:B, B182, D:D, D182)</f>
        <v>58468.727272727272</v>
      </c>
      <c r="W182" s="27">
        <f>(V182-U182)/V182</f>
        <v>4.9060354779340579E-2</v>
      </c>
      <c r="X182" s="23" t="str">
        <f>IF(ABS(W182) &gt;= 0.1, "High Risk",
 IF(ABS(W182) &gt;= 0.05, "Moderate Risk",
 "Low Risk"))</f>
        <v>Low Risk</v>
      </c>
      <c r="Y182" t="str">
        <f>IF(J182&gt;=3,"Yes","No")</f>
        <v>Yes</v>
      </c>
      <c r="Z182">
        <f>IF(TRIM(S182)="Below Market",1,
 IF(TRIM(S182)="At Market",2,
 IF(TRIM(S182)="Above Market",3,0)))</f>
        <v>1</v>
      </c>
      <c r="AA182" s="26" cm="1">
        <f t="array" ref="AA182">IF($Y182&lt;&gt;"Yes",0,INDEX(Merit_Matrix!$B$2:$D$4,MATCH($J182,Merit_Matrix!$A$2:$A$4,0),Z182))</f>
        <v>3.5000000000000003E-2</v>
      </c>
      <c r="AB182" s="41">
        <f>H182*AA182</f>
        <v>1803.2350000000001</v>
      </c>
      <c r="AC182" s="41">
        <f>H182+AB182</f>
        <v>53324.235000000001</v>
      </c>
      <c r="AD182" s="26">
        <f>AC182/O182</f>
        <v>0.51406762749445678</v>
      </c>
      <c r="AE182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83" spans="1:31" x14ac:dyDescent="0.3">
      <c r="A183">
        <v>1180</v>
      </c>
      <c r="B183" t="s">
        <v>30</v>
      </c>
      <c r="C183" t="s">
        <v>24</v>
      </c>
      <c r="D183">
        <v>2</v>
      </c>
      <c r="E183" t="s">
        <v>21</v>
      </c>
      <c r="F183" t="s">
        <v>24</v>
      </c>
      <c r="G183" t="s">
        <v>15</v>
      </c>
      <c r="H183" s="41">
        <v>54497</v>
      </c>
      <c r="I183" t="b">
        <v>0</v>
      </c>
      <c r="J183">
        <v>1</v>
      </c>
      <c r="K183" t="s">
        <v>19</v>
      </c>
      <c r="L183" s="1">
        <v>45037</v>
      </c>
      <c r="M183">
        <v>13</v>
      </c>
      <c r="N183" s="42">
        <f>VLOOKUP(B183,Market_Salary_Benchmarks!$A$1:$G$11,5,FALSE)</f>
        <v>37930</v>
      </c>
      <c r="O183" s="42">
        <f>VLOOKUP(B183,Market_Salary_Benchmarks!$A$1:$G$11,6,FALSE)</f>
        <v>45470</v>
      </c>
      <c r="P183" s="42">
        <f>VLOOKUP(B183,Market_Salary_Benchmarks!$A$1:$G$11,7,FALSE)</f>
        <v>54160</v>
      </c>
      <c r="Q183" s="26">
        <f>H183/O183</f>
        <v>1.1985265009896635</v>
      </c>
      <c r="R183" s="26">
        <f>(H183-N183)/(P183-N183)</f>
        <v>1.0207640172520025</v>
      </c>
      <c r="S183" s="23" t="str">
        <f>IF(H183 &lt; N183, "Below Market", IF(H183 &gt; P183, "Above Market", "At Market"))</f>
        <v>Above Market</v>
      </c>
      <c r="T183" s="22" t="str">
        <f>B183 &amp; "-" &amp; D183</f>
        <v>Payroll Specialist-2</v>
      </c>
      <c r="U183" s="41">
        <f>AVERAGEIFS(H:H, K:K, "Female", B:B, B183, D:D, D183)</f>
        <v>58334.555555555555</v>
      </c>
      <c r="V183" s="41">
        <f>AVERAGEIFS(H:H, K:K, "Male", B:B, B183, D:D, D183)</f>
        <v>56264.5</v>
      </c>
      <c r="W183" s="27">
        <f>(V183-U183)/V183</f>
        <v>-3.6791503622276123E-2</v>
      </c>
      <c r="X183" s="23" t="str">
        <f>IF(ABS(W183) &gt;= 0.1, "High Risk",
 IF(ABS(W183) &gt;= 0.05, "Moderate Risk",
 "Low Risk"))</f>
        <v>Low Risk</v>
      </c>
      <c r="Y183" t="str">
        <f>IF(J183&gt;=3,"Yes","No")</f>
        <v>No</v>
      </c>
      <c r="Z183">
        <f>IF(TRIM(S183)="Below Market",1,
 IF(TRIM(S183)="At Market",2,
 IF(TRIM(S183)="Above Market",3,0)))</f>
        <v>3</v>
      </c>
      <c r="AA183" s="26" cm="1">
        <f t="array" ref="AA183">IF($Y183&lt;&gt;"Yes",0,INDEX(Merit_Matrix!$B$2:$D$4,MATCH($J183,Merit_Matrix!$A$2:$A$4,0),Z183))</f>
        <v>0</v>
      </c>
      <c r="AB183" s="41">
        <f>H183*AA183</f>
        <v>0</v>
      </c>
      <c r="AC183" s="41">
        <f>H183+AB183</f>
        <v>54497</v>
      </c>
      <c r="AD183" s="26">
        <f>AC183/O183</f>
        <v>1.1985265009896635</v>
      </c>
      <c r="AE183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84" spans="1:31" x14ac:dyDescent="0.3">
      <c r="A184">
        <v>1181</v>
      </c>
      <c r="B184" t="s">
        <v>28</v>
      </c>
      <c r="C184" t="s">
        <v>24</v>
      </c>
      <c r="D184">
        <v>3</v>
      </c>
      <c r="E184" t="s">
        <v>14</v>
      </c>
      <c r="F184" t="s">
        <v>24</v>
      </c>
      <c r="G184" t="s">
        <v>15</v>
      </c>
      <c r="H184" s="41">
        <v>83482</v>
      </c>
      <c r="I184" t="b">
        <v>1</v>
      </c>
      <c r="J184">
        <v>3</v>
      </c>
      <c r="K184" t="s">
        <v>19</v>
      </c>
      <c r="L184" s="1">
        <v>42733</v>
      </c>
      <c r="M184">
        <v>8</v>
      </c>
      <c r="N184" s="42">
        <f>VLOOKUP(B184,Market_Salary_Benchmarks!$A$1:$G$11,5,FALSE)</f>
        <v>50970</v>
      </c>
      <c r="O184" s="42">
        <f>VLOOKUP(B184,Market_Salary_Benchmarks!$A$1:$G$11,6,FALSE)</f>
        <v>56720</v>
      </c>
      <c r="P184" s="42">
        <f>VLOOKUP(B184,Market_Salary_Benchmarks!$A$1:$G$11,7,FALSE)</f>
        <v>75360</v>
      </c>
      <c r="Q184" s="26">
        <f>H184/O184</f>
        <v>1.4718265162200281</v>
      </c>
      <c r="R184" s="26">
        <f>(H184-N184)/(P184-N184)</f>
        <v>1.3330053300533005</v>
      </c>
      <c r="S184" s="23" t="str">
        <f>IF(H184 &lt; N184, "Below Market", IF(H184 &gt; P184, "Above Market", "At Market"))</f>
        <v>Above Market</v>
      </c>
      <c r="T184" s="22" t="str">
        <f>B184 &amp; "-" &amp; D184</f>
        <v>Compensation Analyst-3</v>
      </c>
      <c r="U184" s="41">
        <f>AVERAGEIFS(H:H, K:K, "Female", B:B, B184, D:D, D184)</f>
        <v>76621.166666666672</v>
      </c>
      <c r="V184" s="41">
        <f>AVERAGEIFS(H:H, K:K, "Male", B:B, B184, D:D, D184)</f>
        <v>77763.875</v>
      </c>
      <c r="W184" s="27">
        <f>(V184-U184)/V184</f>
        <v>1.4694590943845436E-2</v>
      </c>
      <c r="X184" s="23" t="str">
        <f>IF(ABS(W184) &gt;= 0.1, "High Risk",
 IF(ABS(W184) &gt;= 0.05, "Moderate Risk",
 "Low Risk"))</f>
        <v>Low Risk</v>
      </c>
      <c r="Y184" t="str">
        <f>IF(J184&gt;=3,"Yes","No")</f>
        <v>Yes</v>
      </c>
      <c r="Z184">
        <f>IF(TRIM(S184)="Below Market",1,
 IF(TRIM(S184)="At Market",2,
 IF(TRIM(S184)="Above Market",3,0)))</f>
        <v>3</v>
      </c>
      <c r="AA184" s="26" cm="1">
        <f t="array" ref="AA184">IF($Y184&lt;&gt;"Yes",0,INDEX(Merit_Matrix!$B$2:$D$4,MATCH($J184,Merit_Matrix!$A$2:$A$4,0),Z184))</f>
        <v>0.02</v>
      </c>
      <c r="AB184" s="41">
        <f>H184*AA184</f>
        <v>1669.64</v>
      </c>
      <c r="AC184" s="41">
        <f>H184+AB184</f>
        <v>85151.64</v>
      </c>
      <c r="AD184" s="26">
        <f>AC184/O184</f>
        <v>1.5012630465444288</v>
      </c>
      <c r="AE184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185" spans="1:31" x14ac:dyDescent="0.3">
      <c r="A185">
        <v>1182</v>
      </c>
      <c r="B185" t="s">
        <v>17</v>
      </c>
      <c r="C185" t="s">
        <v>18</v>
      </c>
      <c r="D185">
        <v>2</v>
      </c>
      <c r="E185" t="s">
        <v>14</v>
      </c>
      <c r="F185" t="s">
        <v>18</v>
      </c>
      <c r="G185" t="s">
        <v>15</v>
      </c>
      <c r="H185" s="41">
        <v>56640</v>
      </c>
      <c r="I185" t="b">
        <v>0</v>
      </c>
      <c r="J185">
        <v>3</v>
      </c>
      <c r="K185" t="s">
        <v>16</v>
      </c>
      <c r="L185" s="1">
        <v>42385</v>
      </c>
      <c r="M185">
        <v>14</v>
      </c>
      <c r="N185" s="42">
        <f>VLOOKUP(B185,Market_Salary_Benchmarks!$A$1:$G$11,5,FALSE)</f>
        <v>81130</v>
      </c>
      <c r="O185" s="42">
        <f>VLOOKUP(B185,Market_Salary_Benchmarks!$A$1:$G$11,6,FALSE)</f>
        <v>103730</v>
      </c>
      <c r="P185" s="42">
        <f>VLOOKUP(B185,Market_Salary_Benchmarks!$A$1:$G$11,7,FALSE)</f>
        <v>132670</v>
      </c>
      <c r="Q185" s="26">
        <f>H185/O185</f>
        <v>0.54603297021112507</v>
      </c>
      <c r="R185" s="26">
        <f>(H185-N185)/(P185-N185)</f>
        <v>-0.47516492045013581</v>
      </c>
      <c r="S185" s="23" t="str">
        <f>IF(H185 &lt; N185, "Below Market", IF(H185 &gt; P185, "Above Market", "At Market"))</f>
        <v>Below Market</v>
      </c>
      <c r="T185" s="22" t="str">
        <f>B185 &amp; "-" &amp; D185</f>
        <v>IT Analyst-2</v>
      </c>
      <c r="U185" s="41">
        <f>AVERAGEIFS(H:H, K:K, "Female", B:B, B185, D:D, D185)</f>
        <v>55600.230769230766</v>
      </c>
      <c r="V185" s="41">
        <f>AVERAGEIFS(H:H, K:K, "Male", B:B, B185, D:D, D185)</f>
        <v>58468.727272727272</v>
      </c>
      <c r="W185" s="27">
        <f>(V185-U185)/V185</f>
        <v>4.9060354779340579E-2</v>
      </c>
      <c r="X185" s="23" t="str">
        <f>IF(ABS(W185) &gt;= 0.1, "High Risk",
 IF(ABS(W185) &gt;= 0.05, "Moderate Risk",
 "Low Risk"))</f>
        <v>Low Risk</v>
      </c>
      <c r="Y185" t="str">
        <f>IF(J185&gt;=3,"Yes","No")</f>
        <v>Yes</v>
      </c>
      <c r="Z185">
        <f>IF(TRIM(S185)="Below Market",1,
 IF(TRIM(S185)="At Market",2,
 IF(TRIM(S185)="Above Market",3,0)))</f>
        <v>1</v>
      </c>
      <c r="AA185" s="26" cm="1">
        <f t="array" ref="AA185">IF($Y185&lt;&gt;"Yes",0,INDEX(Merit_Matrix!$B$2:$D$4,MATCH($J185,Merit_Matrix!$A$2:$A$4,0),Z185))</f>
        <v>3.5000000000000003E-2</v>
      </c>
      <c r="AB185" s="41">
        <f>H185*AA185</f>
        <v>1982.4</v>
      </c>
      <c r="AC185" s="41">
        <f>H185+AB185</f>
        <v>58622.400000000001</v>
      </c>
      <c r="AD185" s="26">
        <f>AC185/O185</f>
        <v>0.56514412416851445</v>
      </c>
      <c r="AE185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86" spans="1:31" x14ac:dyDescent="0.3">
      <c r="A186">
        <v>1183</v>
      </c>
      <c r="B186" t="s">
        <v>23</v>
      </c>
      <c r="C186" t="s">
        <v>24</v>
      </c>
      <c r="D186">
        <v>4</v>
      </c>
      <c r="E186" t="s">
        <v>14</v>
      </c>
      <c r="F186" t="s">
        <v>24</v>
      </c>
      <c r="G186" t="s">
        <v>15</v>
      </c>
      <c r="H186" s="41">
        <v>96502</v>
      </c>
      <c r="I186" t="b">
        <v>1</v>
      </c>
      <c r="J186">
        <v>3</v>
      </c>
      <c r="K186" t="s">
        <v>16</v>
      </c>
      <c r="L186" s="1">
        <v>44831</v>
      </c>
      <c r="M186">
        <v>12</v>
      </c>
      <c r="N186" s="42">
        <f>VLOOKUP(B186,Market_Salary_Benchmarks!$A$1:$G$11,5,FALSE)</f>
        <v>82620</v>
      </c>
      <c r="O186" s="42">
        <f>VLOOKUP(B186,Market_Salary_Benchmarks!$A$1:$G$11,6,FALSE)</f>
        <v>110030</v>
      </c>
      <c r="P186" s="42">
        <f>VLOOKUP(B186,Market_Salary_Benchmarks!$A$1:$G$11,7,FALSE)</f>
        <v>146810</v>
      </c>
      <c r="Q186" s="26">
        <f>H186/O186</f>
        <v>0.87705171316913566</v>
      </c>
      <c r="R186" s="26">
        <f>(H186-N186)/(P186-N186)</f>
        <v>0.21626421560990808</v>
      </c>
      <c r="S186" s="23" t="str">
        <f>IF(H186 &lt; N186, "Below Market", IF(H186 &gt; P186, "Above Market", "At Market"))</f>
        <v>At Market</v>
      </c>
      <c r="T186" s="22" t="str">
        <f>B186 &amp; "-" &amp; D186</f>
        <v>HR Manager-4</v>
      </c>
      <c r="U186" s="41">
        <f>AVERAGEIFS(H:H, K:K, "Female", B:B, B186, D:D, D186)</f>
        <v>97910.769230769234</v>
      </c>
      <c r="V186" s="41">
        <f>AVERAGEIFS(H:H, K:K, "Male", B:B, B186, D:D, D186)</f>
        <v>96300.666666666672</v>
      </c>
      <c r="W186" s="27">
        <f>(V186-U186)/V186</f>
        <v>-1.6719537048229805E-2</v>
      </c>
      <c r="X186" s="23" t="str">
        <f>IF(ABS(W186) &gt;= 0.1, "High Risk",
 IF(ABS(W186) &gt;= 0.05, "Moderate Risk",
 "Low Risk"))</f>
        <v>Low Risk</v>
      </c>
      <c r="Y186" t="str">
        <f>IF(J186&gt;=3,"Yes","No")</f>
        <v>Yes</v>
      </c>
      <c r="Z186">
        <f>IF(TRIM(S186)="Below Market",1,
 IF(TRIM(S186)="At Market",2,
 IF(TRIM(S186)="Above Market",3,0)))</f>
        <v>2</v>
      </c>
      <c r="AA186" s="26" cm="1">
        <f t="array" ref="AA186">IF($Y186&lt;&gt;"Yes",0,INDEX(Merit_Matrix!$B$2:$D$4,MATCH($J186,Merit_Matrix!$A$2:$A$4,0),Z186))</f>
        <v>0.03</v>
      </c>
      <c r="AB186" s="41">
        <f>H186*AA186</f>
        <v>2895.06</v>
      </c>
      <c r="AC186" s="41">
        <f>H186+AB186</f>
        <v>99397.06</v>
      </c>
      <c r="AD186" s="26">
        <f>AC186/O186</f>
        <v>0.90336326456420979</v>
      </c>
      <c r="AE18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87" spans="1:31" x14ac:dyDescent="0.3">
      <c r="A187">
        <v>1184</v>
      </c>
      <c r="B187" t="s">
        <v>12</v>
      </c>
      <c r="C187" t="s">
        <v>13</v>
      </c>
      <c r="D187">
        <v>4</v>
      </c>
      <c r="E187" t="s">
        <v>14</v>
      </c>
      <c r="F187" t="s">
        <v>13</v>
      </c>
      <c r="G187" t="s">
        <v>15</v>
      </c>
      <c r="H187" s="41">
        <v>103775</v>
      </c>
      <c r="I187" t="b">
        <v>1</v>
      </c>
      <c r="J187">
        <v>5</v>
      </c>
      <c r="K187" t="s">
        <v>19</v>
      </c>
      <c r="L187" s="1">
        <v>43183</v>
      </c>
      <c r="M187">
        <v>5</v>
      </c>
      <c r="N187" s="42">
        <f>VLOOKUP(B187,Market_Salary_Benchmarks!$A$1:$G$11,5,FALSE)</f>
        <v>74720</v>
      </c>
      <c r="O187" s="42">
        <f>VLOOKUP(B187,Market_Salary_Benchmarks!$A$1:$G$11,6,FALSE)</f>
        <v>106330</v>
      </c>
      <c r="P187" s="42">
        <f>VLOOKUP(B187,Market_Salary_Benchmarks!$A$1:$G$11,7,FALSE)</f>
        <v>162780</v>
      </c>
      <c r="Q187" s="26">
        <f>H187/O187</f>
        <v>0.97597103357472026</v>
      </c>
      <c r="R187" s="26">
        <f>(H187-N187)/(P187-N187)</f>
        <v>0.3299454917101976</v>
      </c>
      <c r="S187" s="23" t="str">
        <f>IF(H187 &lt; N187, "Below Market", IF(H187 &gt; P187, "Above Market", "At Market"))</f>
        <v>At Market</v>
      </c>
      <c r="T187" s="22" t="str">
        <f>B187 &amp; "-" &amp; D187</f>
        <v>Operations Manager-4</v>
      </c>
      <c r="U187" s="41">
        <f>AVERAGEIFS(H:H, K:K, "Female", B:B, B187, D:D, D187)</f>
        <v>96094.111111111109</v>
      </c>
      <c r="V187" s="41">
        <f>AVERAGEIFS(H:H, K:K, "Male", B:B, B187, D:D, D187)</f>
        <v>95248.28571428571</v>
      </c>
      <c r="W187" s="27">
        <f>(V187-U187)/V187</f>
        <v>-8.8802164835029597E-3</v>
      </c>
      <c r="X187" s="23" t="str">
        <f>IF(ABS(W187) &gt;= 0.1, "High Risk",
 IF(ABS(W187) &gt;= 0.05, "Moderate Risk",
 "Low Risk"))</f>
        <v>Low Risk</v>
      </c>
      <c r="Y187" t="str">
        <f>IF(J187&gt;=3,"Yes","No")</f>
        <v>Yes</v>
      </c>
      <c r="Z187">
        <f>IF(TRIM(S187)="Below Market",1,
 IF(TRIM(S187)="At Market",2,
 IF(TRIM(S187)="Above Market",3,0)))</f>
        <v>2</v>
      </c>
      <c r="AA187" s="26" cm="1">
        <f t="array" ref="AA187">IF($Y187&lt;&gt;"Yes",0,INDEX(Merit_Matrix!$B$2:$D$4,MATCH($J187,Merit_Matrix!$A$2:$A$4,0),Z187))</f>
        <v>0.05</v>
      </c>
      <c r="AB187" s="41">
        <f>H187*AA187</f>
        <v>5188.75</v>
      </c>
      <c r="AC187" s="41">
        <f>H187+AB187</f>
        <v>108963.75</v>
      </c>
      <c r="AD187" s="26">
        <f>AC187/O187</f>
        <v>1.0247695852534562</v>
      </c>
      <c r="AE18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88" spans="1:31" x14ac:dyDescent="0.3">
      <c r="A188">
        <v>1185</v>
      </c>
      <c r="B188" t="s">
        <v>29</v>
      </c>
      <c r="C188" t="s">
        <v>24</v>
      </c>
      <c r="D188">
        <v>2</v>
      </c>
      <c r="E188" t="s">
        <v>14</v>
      </c>
      <c r="F188" t="s">
        <v>24</v>
      </c>
      <c r="G188" t="s">
        <v>15</v>
      </c>
      <c r="H188" s="41">
        <v>62764</v>
      </c>
      <c r="I188" t="b">
        <v>0</v>
      </c>
      <c r="J188">
        <v>3</v>
      </c>
      <c r="K188" t="s">
        <v>16</v>
      </c>
      <c r="L188" s="1">
        <v>44141</v>
      </c>
      <c r="M188">
        <v>10</v>
      </c>
      <c r="N188" s="42">
        <f>VLOOKUP(B188,Market_Salary_Benchmarks!$A$1:$G$11,5,FALSE)</f>
        <v>48890</v>
      </c>
      <c r="O188" s="42">
        <f>VLOOKUP(B188,Market_Salary_Benchmarks!$A$1:$G$11,6,FALSE)</f>
        <v>62770</v>
      </c>
      <c r="P188" s="42">
        <f>VLOOKUP(B188,Market_Salary_Benchmarks!$A$1:$G$11,7,FALSE)</f>
        <v>82990</v>
      </c>
      <c r="Q188" s="26">
        <f>H188/O188</f>
        <v>0.99990441293611598</v>
      </c>
      <c r="R188" s="26">
        <f>(H188-N188)/(P188-N188)</f>
        <v>0.40686217008797654</v>
      </c>
      <c r="S188" s="23" t="str">
        <f>IF(H188 &lt; N188, "Below Market", IF(H188 &gt; P188, "Above Market", "At Market"))</f>
        <v>At Market</v>
      </c>
      <c r="T188" s="22" t="str">
        <f>B188 &amp; "-" &amp; D188</f>
        <v>HR Analyst-2</v>
      </c>
      <c r="U188" s="41">
        <f>AVERAGEIFS(H:H, K:K, "Female", B:B, B188, D:D, D188)</f>
        <v>56635.5</v>
      </c>
      <c r="V188" s="41">
        <f>AVERAGEIFS(H:H, K:K, "Male", B:B, B188, D:D, D188)</f>
        <v>59544.4</v>
      </c>
      <c r="W188" s="27">
        <f>(V188-U188)/V188</f>
        <v>4.8852620901377819E-2</v>
      </c>
      <c r="X188" s="23" t="str">
        <f>IF(ABS(W188) &gt;= 0.1, "High Risk",
 IF(ABS(W188) &gt;= 0.05, "Moderate Risk",
 "Low Risk"))</f>
        <v>Low Risk</v>
      </c>
      <c r="Y188" t="str">
        <f>IF(J188&gt;=3,"Yes","No")</f>
        <v>Yes</v>
      </c>
      <c r="Z188">
        <f>IF(TRIM(S188)="Below Market",1,
 IF(TRIM(S188)="At Market",2,
 IF(TRIM(S188)="Above Market",3,0)))</f>
        <v>2</v>
      </c>
      <c r="AA188" s="26" cm="1">
        <f t="array" ref="AA188">IF($Y188&lt;&gt;"Yes",0,INDEX(Merit_Matrix!$B$2:$D$4,MATCH($J188,Merit_Matrix!$A$2:$A$4,0),Z188))</f>
        <v>0.03</v>
      </c>
      <c r="AB188" s="41">
        <f>H188*AA188</f>
        <v>1882.9199999999998</v>
      </c>
      <c r="AC188" s="41">
        <f>H188+AB188</f>
        <v>64646.92</v>
      </c>
      <c r="AD188" s="26">
        <f>AC188/O188</f>
        <v>1.0299015453241995</v>
      </c>
      <c r="AE188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89" spans="1:31" x14ac:dyDescent="0.3">
      <c r="A189">
        <v>1186</v>
      </c>
      <c r="B189" t="s">
        <v>23</v>
      </c>
      <c r="C189" t="s">
        <v>24</v>
      </c>
      <c r="D189">
        <v>4</v>
      </c>
      <c r="E189" t="s">
        <v>14</v>
      </c>
      <c r="F189" t="s">
        <v>24</v>
      </c>
      <c r="G189" t="s">
        <v>15</v>
      </c>
      <c r="H189" s="41">
        <v>91430</v>
      </c>
      <c r="I189" t="b">
        <v>1</v>
      </c>
      <c r="J189">
        <v>3</v>
      </c>
      <c r="K189" t="s">
        <v>19</v>
      </c>
      <c r="L189" s="1">
        <v>44420</v>
      </c>
      <c r="M189">
        <v>14</v>
      </c>
      <c r="N189" s="42">
        <f>VLOOKUP(B189,Market_Salary_Benchmarks!$A$1:$G$11,5,FALSE)</f>
        <v>82620</v>
      </c>
      <c r="O189" s="42">
        <f>VLOOKUP(B189,Market_Salary_Benchmarks!$A$1:$G$11,6,FALSE)</f>
        <v>110030</v>
      </c>
      <c r="P189" s="42">
        <f>VLOOKUP(B189,Market_Salary_Benchmarks!$A$1:$G$11,7,FALSE)</f>
        <v>146810</v>
      </c>
      <c r="Q189" s="26">
        <f>H189/O189</f>
        <v>0.83095519403798968</v>
      </c>
      <c r="R189" s="26">
        <f>(H189-N189)/(P189-N189)</f>
        <v>0.13724879264682974</v>
      </c>
      <c r="S189" s="23" t="str">
        <f>IF(H189 &lt; N189, "Below Market", IF(H189 &gt; P189, "Above Market", "At Market"))</f>
        <v>At Market</v>
      </c>
      <c r="T189" s="22" t="str">
        <f>B189 &amp; "-" &amp; D189</f>
        <v>HR Manager-4</v>
      </c>
      <c r="U189" s="41">
        <f>AVERAGEIFS(H:H, K:K, "Female", B:B, B189, D:D, D189)</f>
        <v>97910.769230769234</v>
      </c>
      <c r="V189" s="41">
        <f>AVERAGEIFS(H:H, K:K, "Male", B:B, B189, D:D, D189)</f>
        <v>96300.666666666672</v>
      </c>
      <c r="W189" s="27">
        <f>(V189-U189)/V189</f>
        <v>-1.6719537048229805E-2</v>
      </c>
      <c r="X189" s="23" t="str">
        <f>IF(ABS(W189) &gt;= 0.1, "High Risk",
 IF(ABS(W189) &gt;= 0.05, "Moderate Risk",
 "Low Risk"))</f>
        <v>Low Risk</v>
      </c>
      <c r="Y189" t="str">
        <f>IF(J189&gt;=3,"Yes","No")</f>
        <v>Yes</v>
      </c>
      <c r="Z189">
        <f>IF(TRIM(S189)="Below Market",1,
 IF(TRIM(S189)="At Market",2,
 IF(TRIM(S189)="Above Market",3,0)))</f>
        <v>2</v>
      </c>
      <c r="AA189" s="26" cm="1">
        <f t="array" ref="AA189">IF($Y189&lt;&gt;"Yes",0,INDEX(Merit_Matrix!$B$2:$D$4,MATCH($J189,Merit_Matrix!$A$2:$A$4,0),Z189))</f>
        <v>0.03</v>
      </c>
      <c r="AB189" s="41">
        <f>H189*AA189</f>
        <v>2742.9</v>
      </c>
      <c r="AC189" s="41">
        <f>H189+AB189</f>
        <v>94172.9</v>
      </c>
      <c r="AD189" s="26">
        <f>AC189/O189</f>
        <v>0.85588384985912924</v>
      </c>
      <c r="AE189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90" spans="1:31" x14ac:dyDescent="0.3">
      <c r="A190">
        <v>1187</v>
      </c>
      <c r="B190" t="s">
        <v>17</v>
      </c>
      <c r="C190" t="s">
        <v>18</v>
      </c>
      <c r="D190">
        <v>2</v>
      </c>
      <c r="E190" t="s">
        <v>14</v>
      </c>
      <c r="F190" t="s">
        <v>18</v>
      </c>
      <c r="G190" t="s">
        <v>15</v>
      </c>
      <c r="H190" s="41">
        <v>52033</v>
      </c>
      <c r="I190" t="b">
        <v>0</v>
      </c>
      <c r="J190">
        <v>3</v>
      </c>
      <c r="K190" t="s">
        <v>19</v>
      </c>
      <c r="L190" s="1">
        <v>42801</v>
      </c>
      <c r="M190">
        <v>2</v>
      </c>
      <c r="N190" s="42">
        <f>VLOOKUP(B190,Market_Salary_Benchmarks!$A$1:$G$11,5,FALSE)</f>
        <v>81130</v>
      </c>
      <c r="O190" s="42">
        <f>VLOOKUP(B190,Market_Salary_Benchmarks!$A$1:$G$11,6,FALSE)</f>
        <v>103730</v>
      </c>
      <c r="P190" s="42">
        <f>VLOOKUP(B190,Market_Salary_Benchmarks!$A$1:$G$11,7,FALSE)</f>
        <v>132670</v>
      </c>
      <c r="Q190" s="26">
        <f>H190/O190</f>
        <v>0.50161958931842288</v>
      </c>
      <c r="R190" s="26">
        <f>(H190-N190)/(P190-N190)</f>
        <v>-0.56455180442374853</v>
      </c>
      <c r="S190" s="23" t="str">
        <f>IF(H190 &lt; N190, "Below Market", IF(H190 &gt; P190, "Above Market", "At Market"))</f>
        <v>Below Market</v>
      </c>
      <c r="T190" s="22" t="str">
        <f>B190 &amp; "-" &amp; D190</f>
        <v>IT Analyst-2</v>
      </c>
      <c r="U190" s="41">
        <f>AVERAGEIFS(H:H, K:K, "Female", B:B, B190, D:D, D190)</f>
        <v>55600.230769230766</v>
      </c>
      <c r="V190" s="41">
        <f>AVERAGEIFS(H:H, K:K, "Male", B:B, B190, D:D, D190)</f>
        <v>58468.727272727272</v>
      </c>
      <c r="W190" s="27">
        <f>(V190-U190)/V190</f>
        <v>4.9060354779340579E-2</v>
      </c>
      <c r="X190" s="23" t="str">
        <f>IF(ABS(W190) &gt;= 0.1, "High Risk",
 IF(ABS(W190) &gt;= 0.05, "Moderate Risk",
 "Low Risk"))</f>
        <v>Low Risk</v>
      </c>
      <c r="Y190" t="str">
        <f>IF(J190&gt;=3,"Yes","No")</f>
        <v>Yes</v>
      </c>
      <c r="Z190">
        <f>IF(TRIM(S190)="Below Market",1,
 IF(TRIM(S190)="At Market",2,
 IF(TRIM(S190)="Above Market",3,0)))</f>
        <v>1</v>
      </c>
      <c r="AA190" s="26" cm="1">
        <f t="array" ref="AA190">IF($Y190&lt;&gt;"Yes",0,INDEX(Merit_Matrix!$B$2:$D$4,MATCH($J190,Merit_Matrix!$A$2:$A$4,0),Z190))</f>
        <v>3.5000000000000003E-2</v>
      </c>
      <c r="AB190" s="41">
        <f>H190*AA190</f>
        <v>1821.1550000000002</v>
      </c>
      <c r="AC190" s="41">
        <f>H190+AB190</f>
        <v>53854.154999999999</v>
      </c>
      <c r="AD190" s="26">
        <f>AC190/O190</f>
        <v>0.51917627494456764</v>
      </c>
      <c r="AE190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91" spans="1:31" x14ac:dyDescent="0.3">
      <c r="A191">
        <v>1188</v>
      </c>
      <c r="B191" t="s">
        <v>27</v>
      </c>
      <c r="C191" t="s">
        <v>26</v>
      </c>
      <c r="D191">
        <v>4</v>
      </c>
      <c r="E191" t="s">
        <v>14</v>
      </c>
      <c r="F191" t="s">
        <v>26</v>
      </c>
      <c r="G191" t="s">
        <v>15</v>
      </c>
      <c r="H191" s="41">
        <v>90632</v>
      </c>
      <c r="I191" t="b">
        <v>1</v>
      </c>
      <c r="J191">
        <v>2</v>
      </c>
      <c r="K191" t="s">
        <v>19</v>
      </c>
      <c r="L191" s="1">
        <v>43333</v>
      </c>
      <c r="M191">
        <v>13</v>
      </c>
      <c r="N191" s="42">
        <f>VLOOKUP(B191,Market_Salary_Benchmarks!$A$1:$G$11,5,FALSE)</f>
        <v>105000</v>
      </c>
      <c r="O191" s="42">
        <f>VLOOKUP(B191,Market_Salary_Benchmarks!$A$1:$G$11,6,FALSE)</f>
        <v>138040</v>
      </c>
      <c r="P191" s="42">
        <f>VLOOKUP(B191,Market_Salary_Benchmarks!$A$1:$G$11,7,FALSE)</f>
        <v>179950</v>
      </c>
      <c r="Q191" s="26">
        <f>H191/O191</f>
        <v>0.65656331498116483</v>
      </c>
      <c r="R191" s="26">
        <f>(H191-N191)/(P191-N191)</f>
        <v>-0.19170113408939293</v>
      </c>
      <c r="S191" s="23" t="str">
        <f>IF(H191 &lt; N191, "Below Market", IF(H191 &gt; P191, "Above Market", "At Market"))</f>
        <v>Below Market</v>
      </c>
      <c r="T191" s="22" t="str">
        <f>B191 &amp; "-" &amp; D191</f>
        <v>Senior Financial Analyst-4</v>
      </c>
      <c r="U191" s="41">
        <f>AVERAGEIFS(H:H, K:K, "Female", B:B, B191, D:D, D191)</f>
        <v>94329.75</v>
      </c>
      <c r="V191" s="41">
        <f>AVERAGEIFS(H:H, K:K, "Male", B:B, B191, D:D, D191)</f>
        <v>94897.166666666672</v>
      </c>
      <c r="W191" s="27">
        <f>(V191-U191)/V191</f>
        <v>5.9792793251643075E-3</v>
      </c>
      <c r="X191" s="23" t="str">
        <f>IF(ABS(W191) &gt;= 0.1, "High Risk",
 IF(ABS(W191) &gt;= 0.05, "Moderate Risk",
 "Low Risk"))</f>
        <v>Low Risk</v>
      </c>
      <c r="Y191" t="str">
        <f>IF(J191&gt;=3,"Yes","No")</f>
        <v>No</v>
      </c>
      <c r="Z191">
        <f>IF(TRIM(S191)="Below Market",1,
 IF(TRIM(S191)="At Market",2,
 IF(TRIM(S191)="Above Market",3,0)))</f>
        <v>1</v>
      </c>
      <c r="AA191" s="26" cm="1">
        <f t="array" ref="AA191">IF($Y191&lt;&gt;"Yes",0,INDEX(Merit_Matrix!$B$2:$D$4,MATCH($J191,Merit_Matrix!$A$2:$A$4,0),Z191))</f>
        <v>0</v>
      </c>
      <c r="AB191" s="41">
        <f>H191*AA191</f>
        <v>0</v>
      </c>
      <c r="AC191" s="41">
        <f>H191+AB191</f>
        <v>90632</v>
      </c>
      <c r="AD191" s="26">
        <f>AC191/O191</f>
        <v>0.65656331498116483</v>
      </c>
      <c r="AE19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92" spans="1:31" x14ac:dyDescent="0.3">
      <c r="A192">
        <v>1189</v>
      </c>
      <c r="B192" t="s">
        <v>23</v>
      </c>
      <c r="C192" t="s">
        <v>24</v>
      </c>
      <c r="D192">
        <v>4</v>
      </c>
      <c r="E192" t="s">
        <v>14</v>
      </c>
      <c r="F192" t="s">
        <v>24</v>
      </c>
      <c r="G192" t="s">
        <v>15</v>
      </c>
      <c r="H192" s="41">
        <v>100260</v>
      </c>
      <c r="I192" t="b">
        <v>1</v>
      </c>
      <c r="J192">
        <v>2</v>
      </c>
      <c r="K192" t="s">
        <v>16</v>
      </c>
      <c r="L192" s="1">
        <v>43176</v>
      </c>
      <c r="M192">
        <v>9</v>
      </c>
      <c r="N192" s="42">
        <f>VLOOKUP(B192,Market_Salary_Benchmarks!$A$1:$G$11,5,FALSE)</f>
        <v>82620</v>
      </c>
      <c r="O192" s="42">
        <f>VLOOKUP(B192,Market_Salary_Benchmarks!$A$1:$G$11,6,FALSE)</f>
        <v>110030</v>
      </c>
      <c r="P192" s="42">
        <f>VLOOKUP(B192,Market_Salary_Benchmarks!$A$1:$G$11,7,FALSE)</f>
        <v>146810</v>
      </c>
      <c r="Q192" s="26">
        <f>H192/O192</f>
        <v>0.91120603471780426</v>
      </c>
      <c r="R192" s="26">
        <f>(H192-N192)/(P192-N192)</f>
        <v>0.27480916030534353</v>
      </c>
      <c r="S192" s="23" t="str">
        <f>IF(H192 &lt; N192, "Below Market", IF(H192 &gt; P192, "Above Market", "At Market"))</f>
        <v>At Market</v>
      </c>
      <c r="T192" s="22" t="str">
        <f>B192 &amp; "-" &amp; D192</f>
        <v>HR Manager-4</v>
      </c>
      <c r="U192" s="41">
        <f>AVERAGEIFS(H:H, K:K, "Female", B:B, B192, D:D, D192)</f>
        <v>97910.769230769234</v>
      </c>
      <c r="V192" s="41">
        <f>AVERAGEIFS(H:H, K:K, "Male", B:B, B192, D:D, D192)</f>
        <v>96300.666666666672</v>
      </c>
      <c r="W192" s="27">
        <f>(V192-U192)/V192</f>
        <v>-1.6719537048229805E-2</v>
      </c>
      <c r="X192" s="23" t="str">
        <f>IF(ABS(W192) &gt;= 0.1, "High Risk",
 IF(ABS(W192) &gt;= 0.05, "Moderate Risk",
 "Low Risk"))</f>
        <v>Low Risk</v>
      </c>
      <c r="Y192" t="str">
        <f>IF(J192&gt;=3,"Yes","No")</f>
        <v>No</v>
      </c>
      <c r="Z192">
        <f>IF(TRIM(S192)="Below Market",1,
 IF(TRIM(S192)="At Market",2,
 IF(TRIM(S192)="Above Market",3,0)))</f>
        <v>2</v>
      </c>
      <c r="AA192" s="26" cm="1">
        <f t="array" ref="AA192">IF($Y192&lt;&gt;"Yes",0,INDEX(Merit_Matrix!$B$2:$D$4,MATCH($J192,Merit_Matrix!$A$2:$A$4,0),Z192))</f>
        <v>0</v>
      </c>
      <c r="AB192" s="41">
        <f>H192*AA192</f>
        <v>0</v>
      </c>
      <c r="AC192" s="41">
        <f>H192+AB192</f>
        <v>100260</v>
      </c>
      <c r="AD192" s="26">
        <f>AC192/O192</f>
        <v>0.91120603471780426</v>
      </c>
      <c r="AE192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93" spans="1:31" x14ac:dyDescent="0.3">
      <c r="A193">
        <v>1190</v>
      </c>
      <c r="B193" t="s">
        <v>17</v>
      </c>
      <c r="C193" t="s">
        <v>18</v>
      </c>
      <c r="D193">
        <v>2</v>
      </c>
      <c r="E193" t="s">
        <v>14</v>
      </c>
      <c r="F193" t="s">
        <v>18</v>
      </c>
      <c r="G193" t="s">
        <v>15</v>
      </c>
      <c r="H193" s="41">
        <v>58202</v>
      </c>
      <c r="I193" t="b">
        <v>0</v>
      </c>
      <c r="J193">
        <v>5</v>
      </c>
      <c r="K193" t="s">
        <v>19</v>
      </c>
      <c r="L193" s="1">
        <v>44981</v>
      </c>
      <c r="M193">
        <v>5</v>
      </c>
      <c r="N193" s="42">
        <f>VLOOKUP(B193,Market_Salary_Benchmarks!$A$1:$G$11,5,FALSE)</f>
        <v>81130</v>
      </c>
      <c r="O193" s="42">
        <f>VLOOKUP(B193,Market_Salary_Benchmarks!$A$1:$G$11,6,FALSE)</f>
        <v>103730</v>
      </c>
      <c r="P193" s="42">
        <f>VLOOKUP(B193,Market_Salary_Benchmarks!$A$1:$G$11,7,FALSE)</f>
        <v>132670</v>
      </c>
      <c r="Q193" s="26">
        <f>H193/O193</f>
        <v>0.56109129470741348</v>
      </c>
      <c r="R193" s="26">
        <f>(H193-N193)/(P193-N193)</f>
        <v>-0.44485836243694216</v>
      </c>
      <c r="S193" s="23" t="str">
        <f>IF(H193 &lt; N193, "Below Market", IF(H193 &gt; P193, "Above Market", "At Market"))</f>
        <v>Below Market</v>
      </c>
      <c r="T193" s="22" t="str">
        <f>B193 &amp; "-" &amp; D193</f>
        <v>IT Analyst-2</v>
      </c>
      <c r="U193" s="41">
        <f>AVERAGEIFS(H:H, K:K, "Female", B:B, B193, D:D, D193)</f>
        <v>55600.230769230766</v>
      </c>
      <c r="V193" s="41">
        <f>AVERAGEIFS(H:H, K:K, "Male", B:B, B193, D:D, D193)</f>
        <v>58468.727272727272</v>
      </c>
      <c r="W193" s="27">
        <f>(V193-U193)/V193</f>
        <v>4.9060354779340579E-2</v>
      </c>
      <c r="X193" s="23" t="str">
        <f>IF(ABS(W193) &gt;= 0.1, "High Risk",
 IF(ABS(W193) &gt;= 0.05, "Moderate Risk",
 "Low Risk"))</f>
        <v>Low Risk</v>
      </c>
      <c r="Y193" t="str">
        <f>IF(J193&gt;=3,"Yes","No")</f>
        <v>Yes</v>
      </c>
      <c r="Z193">
        <f>IF(TRIM(S193)="Below Market",1,
 IF(TRIM(S193)="At Market",2,
 IF(TRIM(S193)="Above Market",3,0)))</f>
        <v>1</v>
      </c>
      <c r="AA193" s="26" cm="1">
        <f t="array" ref="AA193">IF($Y193&lt;&gt;"Yes",0,INDEX(Merit_Matrix!$B$2:$D$4,MATCH($J193,Merit_Matrix!$A$2:$A$4,0),Z193))</f>
        <v>0.06</v>
      </c>
      <c r="AB193" s="41">
        <f>H193*AA193</f>
        <v>3492.12</v>
      </c>
      <c r="AC193" s="41">
        <f>H193+AB193</f>
        <v>61694.12</v>
      </c>
      <c r="AD193" s="26">
        <f>AC193/O193</f>
        <v>0.59475677238985836</v>
      </c>
      <c r="AE193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94" spans="1:31" x14ac:dyDescent="0.3">
      <c r="A194">
        <v>1191</v>
      </c>
      <c r="B194" t="s">
        <v>17</v>
      </c>
      <c r="C194" t="s">
        <v>18</v>
      </c>
      <c r="D194">
        <v>2</v>
      </c>
      <c r="E194" t="s">
        <v>14</v>
      </c>
      <c r="F194" t="s">
        <v>18</v>
      </c>
      <c r="G194" t="s">
        <v>15</v>
      </c>
      <c r="H194" s="41">
        <v>57827</v>
      </c>
      <c r="I194" t="b">
        <v>0</v>
      </c>
      <c r="J194">
        <v>4</v>
      </c>
      <c r="K194" t="s">
        <v>16</v>
      </c>
      <c r="L194" s="1">
        <v>42595</v>
      </c>
      <c r="M194">
        <v>10</v>
      </c>
      <c r="N194" s="42">
        <f>VLOOKUP(B194,Market_Salary_Benchmarks!$A$1:$G$11,5,FALSE)</f>
        <v>81130</v>
      </c>
      <c r="O194" s="42">
        <f>VLOOKUP(B194,Market_Salary_Benchmarks!$A$1:$G$11,6,FALSE)</f>
        <v>103730</v>
      </c>
      <c r="P194" s="42">
        <f>VLOOKUP(B194,Market_Salary_Benchmarks!$A$1:$G$11,7,FALSE)</f>
        <v>132670</v>
      </c>
      <c r="Q194" s="26">
        <f>H194/O194</f>
        <v>0.55747613997879109</v>
      </c>
      <c r="R194" s="26">
        <f>(H194-N194)/(P194-N194)</f>
        <v>-0.45213426464881645</v>
      </c>
      <c r="S194" s="23" t="str">
        <f>IF(H194 &lt; N194, "Below Market", IF(H194 &gt; P194, "Above Market", "At Market"))</f>
        <v>Below Market</v>
      </c>
      <c r="T194" s="22" t="str">
        <f>B194 &amp; "-" &amp; D194</f>
        <v>IT Analyst-2</v>
      </c>
      <c r="U194" s="41">
        <f>AVERAGEIFS(H:H, K:K, "Female", B:B, B194, D:D, D194)</f>
        <v>55600.230769230766</v>
      </c>
      <c r="V194" s="41">
        <f>AVERAGEIFS(H:H, K:K, "Male", B:B, B194, D:D, D194)</f>
        <v>58468.727272727272</v>
      </c>
      <c r="W194" s="27">
        <f>(V194-U194)/V194</f>
        <v>4.9060354779340579E-2</v>
      </c>
      <c r="X194" s="23" t="str">
        <f>IF(ABS(W194) &gt;= 0.1, "High Risk",
 IF(ABS(W194) &gt;= 0.05, "Moderate Risk",
 "Low Risk"))</f>
        <v>Low Risk</v>
      </c>
      <c r="Y194" t="str">
        <f>IF(J194&gt;=3,"Yes","No")</f>
        <v>Yes</v>
      </c>
      <c r="Z194">
        <f>IF(TRIM(S194)="Below Market",1,
 IF(TRIM(S194)="At Market",2,
 IF(TRIM(S194)="Above Market",3,0)))</f>
        <v>1</v>
      </c>
      <c r="AA194" s="26" cm="1">
        <f t="array" ref="AA194">IF($Y194&lt;&gt;"Yes",0,INDEX(Merit_Matrix!$B$2:$D$4,MATCH($J194,Merit_Matrix!$A$2:$A$4,0),Z194))</f>
        <v>0.05</v>
      </c>
      <c r="AB194" s="41">
        <f>H194*AA194</f>
        <v>2891.3500000000004</v>
      </c>
      <c r="AC194" s="41">
        <f>H194+AB194</f>
        <v>60718.35</v>
      </c>
      <c r="AD194" s="26">
        <f>AC194/O194</f>
        <v>0.58534994697773068</v>
      </c>
      <c r="AE194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95" spans="1:31" x14ac:dyDescent="0.3">
      <c r="A195">
        <v>1192</v>
      </c>
      <c r="B195" t="s">
        <v>23</v>
      </c>
      <c r="C195" t="s">
        <v>24</v>
      </c>
      <c r="D195">
        <v>4</v>
      </c>
      <c r="E195" t="s">
        <v>14</v>
      </c>
      <c r="F195" t="s">
        <v>24</v>
      </c>
      <c r="G195" t="s">
        <v>15</v>
      </c>
      <c r="H195" s="41">
        <v>98745</v>
      </c>
      <c r="I195" t="b">
        <v>1</v>
      </c>
      <c r="J195">
        <v>4</v>
      </c>
      <c r="K195" t="s">
        <v>16</v>
      </c>
      <c r="L195" s="1">
        <v>44166</v>
      </c>
      <c r="M195">
        <v>7</v>
      </c>
      <c r="N195" s="42">
        <f>VLOOKUP(B195,Market_Salary_Benchmarks!$A$1:$G$11,5,FALSE)</f>
        <v>82620</v>
      </c>
      <c r="O195" s="42">
        <f>VLOOKUP(B195,Market_Salary_Benchmarks!$A$1:$G$11,6,FALSE)</f>
        <v>110030</v>
      </c>
      <c r="P195" s="42">
        <f>VLOOKUP(B195,Market_Salary_Benchmarks!$A$1:$G$11,7,FALSE)</f>
        <v>146810</v>
      </c>
      <c r="Q195" s="26">
        <f>H195/O195</f>
        <v>0.89743706261928569</v>
      </c>
      <c r="R195" s="26">
        <f>(H195-N195)/(P195-N195)</f>
        <v>0.25120735317027576</v>
      </c>
      <c r="S195" s="23" t="str">
        <f>IF(H195 &lt; N195, "Below Market", IF(H195 &gt; P195, "Above Market", "At Market"))</f>
        <v>At Market</v>
      </c>
      <c r="T195" s="22" t="str">
        <f>B195 &amp; "-" &amp; D195</f>
        <v>HR Manager-4</v>
      </c>
      <c r="U195" s="41">
        <f>AVERAGEIFS(H:H, K:K, "Female", B:B, B195, D:D, D195)</f>
        <v>97910.769230769234</v>
      </c>
      <c r="V195" s="41">
        <f>AVERAGEIFS(H:H, K:K, "Male", B:B, B195, D:D, D195)</f>
        <v>96300.666666666672</v>
      </c>
      <c r="W195" s="27">
        <f>(V195-U195)/V195</f>
        <v>-1.6719537048229805E-2</v>
      </c>
      <c r="X195" s="23" t="str">
        <f>IF(ABS(W195) &gt;= 0.1, "High Risk",
 IF(ABS(W195) &gt;= 0.05, "Moderate Risk",
 "Low Risk"))</f>
        <v>Low Risk</v>
      </c>
      <c r="Y195" t="str">
        <f>IF(J195&gt;=3,"Yes","No")</f>
        <v>Yes</v>
      </c>
      <c r="Z195">
        <f>IF(TRIM(S195)="Below Market",1,
 IF(TRIM(S195)="At Market",2,
 IF(TRIM(S195)="Above Market",3,0)))</f>
        <v>2</v>
      </c>
      <c r="AA195" s="26" cm="1">
        <f t="array" ref="AA195">IF($Y195&lt;&gt;"Yes",0,INDEX(Merit_Matrix!$B$2:$D$4,MATCH($J195,Merit_Matrix!$A$2:$A$4,0),Z195))</f>
        <v>0.04</v>
      </c>
      <c r="AB195" s="41">
        <f>H195*AA195</f>
        <v>3949.8</v>
      </c>
      <c r="AC195" s="41">
        <f>H195+AB195</f>
        <v>102694.8</v>
      </c>
      <c r="AD195" s="26">
        <f>AC195/O195</f>
        <v>0.93333454512405711</v>
      </c>
      <c r="AE195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96" spans="1:31" x14ac:dyDescent="0.3">
      <c r="A196">
        <v>1193</v>
      </c>
      <c r="B196" t="s">
        <v>12</v>
      </c>
      <c r="C196" t="s">
        <v>13</v>
      </c>
      <c r="D196">
        <v>4</v>
      </c>
      <c r="E196" t="s">
        <v>14</v>
      </c>
      <c r="F196" t="s">
        <v>13</v>
      </c>
      <c r="G196" t="s">
        <v>15</v>
      </c>
      <c r="H196" s="41">
        <v>99362</v>
      </c>
      <c r="I196" t="b">
        <v>1</v>
      </c>
      <c r="J196">
        <v>3</v>
      </c>
      <c r="K196" t="s">
        <v>19</v>
      </c>
      <c r="L196" s="1">
        <v>43966</v>
      </c>
      <c r="M196">
        <v>12</v>
      </c>
      <c r="N196" s="42">
        <f>VLOOKUP(B196,Market_Salary_Benchmarks!$A$1:$G$11,5,FALSE)</f>
        <v>74720</v>
      </c>
      <c r="O196" s="42">
        <f>VLOOKUP(B196,Market_Salary_Benchmarks!$A$1:$G$11,6,FALSE)</f>
        <v>106330</v>
      </c>
      <c r="P196" s="42">
        <f>VLOOKUP(B196,Market_Salary_Benchmarks!$A$1:$G$11,7,FALSE)</f>
        <v>162780</v>
      </c>
      <c r="Q196" s="26">
        <f>H196/O196</f>
        <v>0.93446816514624287</v>
      </c>
      <c r="R196" s="26">
        <f>(H196-N196)/(P196-N196)</f>
        <v>0.27983193277310925</v>
      </c>
      <c r="S196" s="23" t="str">
        <f>IF(H196 &lt; N196, "Below Market", IF(H196 &gt; P196, "Above Market", "At Market"))</f>
        <v>At Market</v>
      </c>
      <c r="T196" s="22" t="str">
        <f>B196 &amp; "-" &amp; D196</f>
        <v>Operations Manager-4</v>
      </c>
      <c r="U196" s="41">
        <f>AVERAGEIFS(H:H, K:K, "Female", B:B, B196, D:D, D196)</f>
        <v>96094.111111111109</v>
      </c>
      <c r="V196" s="41">
        <f>AVERAGEIFS(H:H, K:K, "Male", B:B, B196, D:D, D196)</f>
        <v>95248.28571428571</v>
      </c>
      <c r="W196" s="27">
        <f>(V196-U196)/V196</f>
        <v>-8.8802164835029597E-3</v>
      </c>
      <c r="X196" s="23" t="str">
        <f>IF(ABS(W196) &gt;= 0.1, "High Risk",
 IF(ABS(W196) &gt;= 0.05, "Moderate Risk",
 "Low Risk"))</f>
        <v>Low Risk</v>
      </c>
      <c r="Y196" t="str">
        <f>IF(J196&gt;=3,"Yes","No")</f>
        <v>Yes</v>
      </c>
      <c r="Z196">
        <f>IF(TRIM(S196)="Below Market",1,
 IF(TRIM(S196)="At Market",2,
 IF(TRIM(S196)="Above Market",3,0)))</f>
        <v>2</v>
      </c>
      <c r="AA196" s="26" cm="1">
        <f t="array" ref="AA196">IF($Y196&lt;&gt;"Yes",0,INDEX(Merit_Matrix!$B$2:$D$4,MATCH($J196,Merit_Matrix!$A$2:$A$4,0),Z196))</f>
        <v>0.03</v>
      </c>
      <c r="AB196" s="41">
        <f>H196*AA196</f>
        <v>2980.8599999999997</v>
      </c>
      <c r="AC196" s="41">
        <f>H196+AB196</f>
        <v>102342.86</v>
      </c>
      <c r="AD196" s="26">
        <f>AC196/O196</f>
        <v>0.96250221010063008</v>
      </c>
      <c r="AE196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97" spans="1:31" x14ac:dyDescent="0.3">
      <c r="A197">
        <v>1194</v>
      </c>
      <c r="B197" t="s">
        <v>23</v>
      </c>
      <c r="C197" t="s">
        <v>24</v>
      </c>
      <c r="D197">
        <v>4</v>
      </c>
      <c r="E197" t="s">
        <v>14</v>
      </c>
      <c r="F197" t="s">
        <v>24</v>
      </c>
      <c r="G197" t="s">
        <v>15</v>
      </c>
      <c r="H197" s="41">
        <v>102551</v>
      </c>
      <c r="I197" t="b">
        <v>1</v>
      </c>
      <c r="J197">
        <v>4</v>
      </c>
      <c r="K197" t="s">
        <v>19</v>
      </c>
      <c r="L197" s="1">
        <v>43150</v>
      </c>
      <c r="M197">
        <v>9</v>
      </c>
      <c r="N197" s="42">
        <f>VLOOKUP(B197,Market_Salary_Benchmarks!$A$1:$G$11,5,FALSE)</f>
        <v>82620</v>
      </c>
      <c r="O197" s="42">
        <f>VLOOKUP(B197,Market_Salary_Benchmarks!$A$1:$G$11,6,FALSE)</f>
        <v>110030</v>
      </c>
      <c r="P197" s="42">
        <f>VLOOKUP(B197,Market_Salary_Benchmarks!$A$1:$G$11,7,FALSE)</f>
        <v>146810</v>
      </c>
      <c r="Q197" s="26">
        <f>H197/O197</f>
        <v>0.93202762882850132</v>
      </c>
      <c r="R197" s="26">
        <f>(H197-N197)/(P197-N197)</f>
        <v>0.31050007789375295</v>
      </c>
      <c r="S197" s="23" t="str">
        <f>IF(H197 &lt; N197, "Below Market", IF(H197 &gt; P197, "Above Market", "At Market"))</f>
        <v>At Market</v>
      </c>
      <c r="T197" s="22" t="str">
        <f>B197 &amp; "-" &amp; D197</f>
        <v>HR Manager-4</v>
      </c>
      <c r="U197" s="41">
        <f>AVERAGEIFS(H:H, K:K, "Female", B:B, B197, D:D, D197)</f>
        <v>97910.769230769234</v>
      </c>
      <c r="V197" s="41">
        <f>AVERAGEIFS(H:H, K:K, "Male", B:B, B197, D:D, D197)</f>
        <v>96300.666666666672</v>
      </c>
      <c r="W197" s="27">
        <f>(V197-U197)/V197</f>
        <v>-1.6719537048229805E-2</v>
      </c>
      <c r="X197" s="23" t="str">
        <f>IF(ABS(W197) &gt;= 0.1, "High Risk",
 IF(ABS(W197) &gt;= 0.05, "Moderate Risk",
 "Low Risk"))</f>
        <v>Low Risk</v>
      </c>
      <c r="Y197" t="str">
        <f>IF(J197&gt;=3,"Yes","No")</f>
        <v>Yes</v>
      </c>
      <c r="Z197">
        <f>IF(TRIM(S197)="Below Market",1,
 IF(TRIM(S197)="At Market",2,
 IF(TRIM(S197)="Above Market",3,0)))</f>
        <v>2</v>
      </c>
      <c r="AA197" s="26" cm="1">
        <f t="array" ref="AA197">IF($Y197&lt;&gt;"Yes",0,INDEX(Merit_Matrix!$B$2:$D$4,MATCH($J197,Merit_Matrix!$A$2:$A$4,0),Z197))</f>
        <v>0.04</v>
      </c>
      <c r="AB197" s="41">
        <f>H197*AA197</f>
        <v>4102.04</v>
      </c>
      <c r="AC197" s="41">
        <f>H197+AB197</f>
        <v>106653.04</v>
      </c>
      <c r="AD197" s="26">
        <f>AC197/O197</f>
        <v>0.9693087339816413</v>
      </c>
      <c r="AE197" t="str">
        <f>IF(Table1[[#This Row],[New_Base_Salary]] &lt; Table1[[#This Row],[Market P25]],"Below Market",
 IF(Table1[[#This Row],[New_Base_Salary]] &gt; Table1[[#This Row],[Market P75]],"Above Market","At Market"))</f>
        <v>At Market</v>
      </c>
    </row>
    <row r="198" spans="1:31" x14ac:dyDescent="0.3">
      <c r="A198">
        <v>1195</v>
      </c>
      <c r="B198" t="s">
        <v>22</v>
      </c>
      <c r="C198" t="s">
        <v>18</v>
      </c>
      <c r="D198">
        <v>3</v>
      </c>
      <c r="E198" t="s">
        <v>14</v>
      </c>
      <c r="F198" t="s">
        <v>18</v>
      </c>
      <c r="G198" t="s">
        <v>15</v>
      </c>
      <c r="H198" s="41">
        <v>74675</v>
      </c>
      <c r="I198" t="b">
        <v>1</v>
      </c>
      <c r="J198">
        <v>4</v>
      </c>
      <c r="K198" t="s">
        <v>19</v>
      </c>
      <c r="L198" s="1">
        <v>44010</v>
      </c>
      <c r="M198">
        <v>9</v>
      </c>
      <c r="N198" s="42">
        <f>VLOOKUP(B198,Market_Salary_Benchmarks!$A$1:$G$11,5,FALSE)</f>
        <v>103040</v>
      </c>
      <c r="O198" s="42">
        <f>VLOOKUP(B198,Market_Salary_Benchmarks!$A$1:$G$11,6,FALSE)</f>
        <v>133500</v>
      </c>
      <c r="P198" s="42">
        <f>VLOOKUP(B198,Market_Salary_Benchmarks!$A$1:$G$11,7,FALSE)</f>
        <v>171680</v>
      </c>
      <c r="Q198" s="26">
        <f>H198/O198</f>
        <v>0.55936329588014977</v>
      </c>
      <c r="R198" s="26">
        <f>(H198-N198)/(P198-N198)</f>
        <v>-0.41324300699300698</v>
      </c>
      <c r="S198" s="23" t="str">
        <f>IF(H198 &lt; N198, "Below Market", IF(H198 &gt; P198, "Above Market", "At Market"))</f>
        <v>Below Market</v>
      </c>
      <c r="T198" s="22" t="str">
        <f>B198 &amp; "-" &amp; D198</f>
        <v>Senior IT Analyst-3</v>
      </c>
      <c r="U198" s="41">
        <f>AVERAGEIFS(H:H, K:K, "Female", B:B, B198, D:D, D198)</f>
        <v>78401.571428571435</v>
      </c>
      <c r="V198" s="41">
        <f>AVERAGEIFS(H:H, K:K, "Male", B:B, B198, D:D, D198)</f>
        <v>75875.125</v>
      </c>
      <c r="W198" s="27">
        <f>(V198-U198)/V198</f>
        <v>-3.3297426904686282E-2</v>
      </c>
      <c r="X198" s="23" t="str">
        <f>IF(ABS(W198) &gt;= 0.1, "High Risk",
 IF(ABS(W198) &gt;= 0.05, "Moderate Risk",
 "Low Risk"))</f>
        <v>Low Risk</v>
      </c>
      <c r="Y198" t="str">
        <f>IF(J198&gt;=3,"Yes","No")</f>
        <v>Yes</v>
      </c>
      <c r="Z198">
        <f>IF(TRIM(S198)="Below Market",1,
 IF(TRIM(S198)="At Market",2,
 IF(TRIM(S198)="Above Market",3,0)))</f>
        <v>1</v>
      </c>
      <c r="AA198" s="26" cm="1">
        <f t="array" ref="AA198">IF($Y198&lt;&gt;"Yes",0,INDEX(Merit_Matrix!$B$2:$D$4,MATCH($J198,Merit_Matrix!$A$2:$A$4,0),Z198))</f>
        <v>0.05</v>
      </c>
      <c r="AB198" s="41">
        <f>H198*AA198</f>
        <v>3733.75</v>
      </c>
      <c r="AC198" s="41">
        <f>H198+AB198</f>
        <v>78408.75</v>
      </c>
      <c r="AD198" s="26">
        <f>AC198/O198</f>
        <v>0.58733146067415731</v>
      </c>
      <c r="AE198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199" spans="1:31" x14ac:dyDescent="0.3">
      <c r="A199">
        <v>1196</v>
      </c>
      <c r="B199" t="s">
        <v>30</v>
      </c>
      <c r="C199" t="s">
        <v>24</v>
      </c>
      <c r="D199">
        <v>2</v>
      </c>
      <c r="E199" t="s">
        <v>21</v>
      </c>
      <c r="F199" t="s">
        <v>24</v>
      </c>
      <c r="G199" t="s">
        <v>15</v>
      </c>
      <c r="H199" s="41">
        <v>60874</v>
      </c>
      <c r="I199" t="b">
        <v>0</v>
      </c>
      <c r="J199">
        <v>4</v>
      </c>
      <c r="K199" t="s">
        <v>16</v>
      </c>
      <c r="L199" s="1">
        <v>42890</v>
      </c>
      <c r="M199">
        <v>9</v>
      </c>
      <c r="N199" s="42">
        <f>VLOOKUP(B199,Market_Salary_Benchmarks!$A$1:$G$11,5,FALSE)</f>
        <v>37930</v>
      </c>
      <c r="O199" s="42">
        <f>VLOOKUP(B199,Market_Salary_Benchmarks!$A$1:$G$11,6,FALSE)</f>
        <v>45470</v>
      </c>
      <c r="P199" s="42">
        <f>VLOOKUP(B199,Market_Salary_Benchmarks!$A$1:$G$11,7,FALSE)</f>
        <v>54160</v>
      </c>
      <c r="Q199" s="26">
        <f>H199/O199</f>
        <v>1.3387728172421376</v>
      </c>
      <c r="R199" s="26">
        <f>(H199-N199)/(P199-N199)</f>
        <v>1.4136783733826248</v>
      </c>
      <c r="S199" s="23" t="str">
        <f>IF(H199 &lt; N199, "Below Market", IF(H199 &gt; P199, "Above Market", "At Market"))</f>
        <v>Above Market</v>
      </c>
      <c r="T199" s="22" t="str">
        <f>B199 &amp; "-" &amp; D199</f>
        <v>Payroll Specialist-2</v>
      </c>
      <c r="U199" s="41">
        <f>AVERAGEIFS(H:H, K:K, "Female", B:B, B199, D:D, D199)</f>
        <v>58334.555555555555</v>
      </c>
      <c r="V199" s="41">
        <f>AVERAGEIFS(H:H, K:K, "Male", B:B, B199, D:D, D199)</f>
        <v>56264.5</v>
      </c>
      <c r="W199" s="27">
        <f>(V199-U199)/V199</f>
        <v>-3.6791503622276123E-2</v>
      </c>
      <c r="X199" s="23" t="str">
        <f>IF(ABS(W199) &gt;= 0.1, "High Risk",
 IF(ABS(W199) &gt;= 0.05, "Moderate Risk",
 "Low Risk"))</f>
        <v>Low Risk</v>
      </c>
      <c r="Y199" t="str">
        <f>IF(J199&gt;=3,"Yes","No")</f>
        <v>Yes</v>
      </c>
      <c r="Z199">
        <f>IF(TRIM(S199)="Below Market",1,
 IF(TRIM(S199)="At Market",2,
 IF(TRIM(S199)="Above Market",3,0)))</f>
        <v>3</v>
      </c>
      <c r="AA199" s="26" cm="1">
        <f t="array" ref="AA199">IF($Y199&lt;&gt;"Yes",0,INDEX(Merit_Matrix!$B$2:$D$4,MATCH($J199,Merit_Matrix!$A$2:$A$4,0),Z199))</f>
        <v>0.03</v>
      </c>
      <c r="AB199" s="41">
        <f>H199*AA199</f>
        <v>1826.22</v>
      </c>
      <c r="AC199" s="41">
        <f>H199+AB199</f>
        <v>62700.22</v>
      </c>
      <c r="AD199" s="26">
        <f>AC199/O199</f>
        <v>1.3789360017594019</v>
      </c>
      <c r="AE199" t="str">
        <f>IF(Table1[[#This Row],[New_Base_Salary]] &lt; Table1[[#This Row],[Market P25]],"Below Market",
 IF(Table1[[#This Row],[New_Base_Salary]] &gt; Table1[[#This Row],[Market P75]],"Above Market","At Market"))</f>
        <v>Above Market</v>
      </c>
    </row>
    <row r="200" spans="1:31" x14ac:dyDescent="0.3">
      <c r="A200">
        <v>1197</v>
      </c>
      <c r="B200" t="s">
        <v>22</v>
      </c>
      <c r="C200" t="s">
        <v>18</v>
      </c>
      <c r="D200">
        <v>3</v>
      </c>
      <c r="E200" t="s">
        <v>14</v>
      </c>
      <c r="F200" t="s">
        <v>18</v>
      </c>
      <c r="G200" t="s">
        <v>15</v>
      </c>
      <c r="H200" s="41">
        <v>70954</v>
      </c>
      <c r="I200" t="b">
        <v>1</v>
      </c>
      <c r="J200">
        <v>3</v>
      </c>
      <c r="K200" t="s">
        <v>19</v>
      </c>
      <c r="L200" s="1">
        <v>42407</v>
      </c>
      <c r="M200">
        <v>9</v>
      </c>
      <c r="N200" s="42">
        <f>VLOOKUP(B200,Market_Salary_Benchmarks!$A$1:$G$11,5,FALSE)</f>
        <v>103040</v>
      </c>
      <c r="O200" s="42">
        <f>VLOOKUP(B200,Market_Salary_Benchmarks!$A$1:$G$11,6,FALSE)</f>
        <v>133500</v>
      </c>
      <c r="P200" s="42">
        <f>VLOOKUP(B200,Market_Salary_Benchmarks!$A$1:$G$11,7,FALSE)</f>
        <v>171680</v>
      </c>
      <c r="Q200" s="26">
        <f t="shared" ref="Q195:Q202" si="9">H200/O200</f>
        <v>0.53149063670411989</v>
      </c>
      <c r="R200" s="26">
        <f t="shared" ref="R195:R202" si="10">(H200-N200)/(P200-N200)</f>
        <v>-0.46745337995337993</v>
      </c>
      <c r="S200" s="23" t="str">
        <f t="shared" ref="S195:S202" si="11">IF(H200 &lt; N200, "Below Market", IF(H200 &gt; P200, "Above Market", "At Market"))</f>
        <v>Below Market</v>
      </c>
      <c r="T200" s="22" t="str">
        <f t="shared" ref="T196:T202" si="12">B200 &amp; "-" &amp; D200</f>
        <v>Senior IT Analyst-3</v>
      </c>
      <c r="U200" s="41">
        <f t="shared" ref="U195:U202" si="13">AVERAGEIFS(H:H, K:K, "Female", B:B, B200, D:D, D200)</f>
        <v>78401.571428571435</v>
      </c>
      <c r="V200" s="41">
        <f t="shared" ref="V195:V202" si="14">AVERAGEIFS(H:H, K:K, "Male", B:B, B200, D:D, D200)</f>
        <v>75875.125</v>
      </c>
      <c r="W200" s="27">
        <f t="shared" ref="W196:W202" si="15">(V200-U200)/V200</f>
        <v>-3.3297426904686282E-2</v>
      </c>
      <c r="X200" s="23" t="str">
        <f t="shared" ref="X196:X202" si="16">IF(ABS(W200) &gt;= 0.1, "High Risk",
 IF(ABS(W200) &gt;= 0.05, "Moderate Risk",
 "Low Risk"))</f>
        <v>Low Risk</v>
      </c>
      <c r="Y200" t="str">
        <f t="shared" ref="Y196:Y202" si="17">IF(J200&gt;=3,"Yes","No")</f>
        <v>Yes</v>
      </c>
      <c r="Z200">
        <f t="shared" ref="Z195:Z202" si="18">IF(TRIM(S200)="Below Market",1,
 IF(TRIM(S200)="At Market",2,
 IF(TRIM(S200)="Above Market",3,0)))</f>
        <v>1</v>
      </c>
      <c r="AA200" s="26" cm="1">
        <f t="array" ref="AA200">IF($Y200&lt;&gt;"Yes",0,INDEX(Merit_Matrix!$B$2:$D$4,MATCH($J200,Merit_Matrix!$A$2:$A$4,0),Z200))</f>
        <v>3.5000000000000003E-2</v>
      </c>
      <c r="AB200" s="41">
        <f t="shared" ref="AB195:AB226" si="19">H200*AA200</f>
        <v>2483.3900000000003</v>
      </c>
      <c r="AC200" s="41">
        <f t="shared" ref="AC195:AC226" si="20">H200+AB200</f>
        <v>73437.39</v>
      </c>
      <c r="AD200" s="26">
        <f t="shared" ref="AD195:AD226" si="21">AC200/O200</f>
        <v>0.550092808988764</v>
      </c>
      <c r="AE200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201" spans="1:31" x14ac:dyDescent="0.3">
      <c r="A201">
        <v>1198</v>
      </c>
      <c r="B201" t="s">
        <v>27</v>
      </c>
      <c r="C201" t="s">
        <v>26</v>
      </c>
      <c r="D201">
        <v>4</v>
      </c>
      <c r="E201" t="s">
        <v>14</v>
      </c>
      <c r="F201" t="s">
        <v>26</v>
      </c>
      <c r="G201" t="s">
        <v>15</v>
      </c>
      <c r="H201" s="41">
        <v>97105</v>
      </c>
      <c r="I201" t="b">
        <v>1</v>
      </c>
      <c r="J201">
        <v>2</v>
      </c>
      <c r="K201" t="s">
        <v>16</v>
      </c>
      <c r="L201" s="1">
        <v>44081</v>
      </c>
      <c r="M201">
        <v>14</v>
      </c>
      <c r="N201" s="42">
        <f>VLOOKUP(B201,Market_Salary_Benchmarks!$A$1:$G$11,5,FALSE)</f>
        <v>105000</v>
      </c>
      <c r="O201" s="42">
        <f>VLOOKUP(B201,Market_Salary_Benchmarks!$A$1:$G$11,6,FALSE)</f>
        <v>138040</v>
      </c>
      <c r="P201" s="42">
        <f>VLOOKUP(B201,Market_Salary_Benchmarks!$A$1:$G$11,7,FALSE)</f>
        <v>179950</v>
      </c>
      <c r="Q201" s="26">
        <f t="shared" si="9"/>
        <v>0.70345552013909007</v>
      </c>
      <c r="R201" s="26">
        <f t="shared" si="10"/>
        <v>-0.10533689126084056</v>
      </c>
      <c r="S201" s="23" t="str">
        <f t="shared" si="11"/>
        <v>Below Market</v>
      </c>
      <c r="T201" s="22" t="str">
        <f t="shared" si="12"/>
        <v>Senior Financial Analyst-4</v>
      </c>
      <c r="U201" s="41">
        <f t="shared" si="13"/>
        <v>94329.75</v>
      </c>
      <c r="V201" s="41">
        <f t="shared" si="14"/>
        <v>94897.166666666672</v>
      </c>
      <c r="W201" s="27">
        <f t="shared" si="15"/>
        <v>5.9792793251643075E-3</v>
      </c>
      <c r="X201" s="23" t="str">
        <f t="shared" si="16"/>
        <v>Low Risk</v>
      </c>
      <c r="Y201" t="str">
        <f t="shared" si="17"/>
        <v>No</v>
      </c>
      <c r="Z201">
        <f t="shared" si="18"/>
        <v>1</v>
      </c>
      <c r="AA201" s="26" cm="1">
        <f t="array" ref="AA201">IF($Y201&lt;&gt;"Yes",0,INDEX(Merit_Matrix!$B$2:$D$4,MATCH($J201,Merit_Matrix!$A$2:$A$4,0),Z201))</f>
        <v>0</v>
      </c>
      <c r="AB201" s="41">
        <f t="shared" si="19"/>
        <v>0</v>
      </c>
      <c r="AC201" s="41">
        <f t="shared" si="20"/>
        <v>97105</v>
      </c>
      <c r="AD201" s="26">
        <f t="shared" si="21"/>
        <v>0.70345552013909007</v>
      </c>
      <c r="AE201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  <row r="202" spans="1:31" x14ac:dyDescent="0.3">
      <c r="A202">
        <v>1199</v>
      </c>
      <c r="B202" t="s">
        <v>27</v>
      </c>
      <c r="C202" t="s">
        <v>26</v>
      </c>
      <c r="D202">
        <v>4</v>
      </c>
      <c r="E202" t="s">
        <v>14</v>
      </c>
      <c r="F202" t="s">
        <v>26</v>
      </c>
      <c r="G202" t="s">
        <v>15</v>
      </c>
      <c r="H202" s="41">
        <v>93233</v>
      </c>
      <c r="I202" t="b">
        <v>1</v>
      </c>
      <c r="J202">
        <v>3</v>
      </c>
      <c r="K202" t="s">
        <v>16</v>
      </c>
      <c r="L202" s="1">
        <v>42687</v>
      </c>
      <c r="M202">
        <v>14</v>
      </c>
      <c r="N202" s="42">
        <f>VLOOKUP(B202,Market_Salary_Benchmarks!$A$1:$G$11,5,FALSE)</f>
        <v>105000</v>
      </c>
      <c r="O202" s="42">
        <f>VLOOKUP(B202,Market_Salary_Benchmarks!$A$1:$G$11,6,FALSE)</f>
        <v>138040</v>
      </c>
      <c r="P202" s="42">
        <f>VLOOKUP(B202,Market_Salary_Benchmarks!$A$1:$G$11,7,FALSE)</f>
        <v>179950</v>
      </c>
      <c r="Q202" s="26">
        <f t="shared" si="9"/>
        <v>0.67540567951318453</v>
      </c>
      <c r="R202" s="26">
        <f t="shared" si="10"/>
        <v>-0.15699799866577718</v>
      </c>
      <c r="S202" s="23" t="str">
        <f t="shared" si="11"/>
        <v>Below Market</v>
      </c>
      <c r="T202" s="22" t="str">
        <f t="shared" si="12"/>
        <v>Senior Financial Analyst-4</v>
      </c>
      <c r="U202" s="41">
        <f t="shared" si="13"/>
        <v>94329.75</v>
      </c>
      <c r="V202" s="41">
        <f t="shared" si="14"/>
        <v>94897.166666666672</v>
      </c>
      <c r="W202" s="27">
        <f t="shared" si="15"/>
        <v>5.9792793251643075E-3</v>
      </c>
      <c r="X202" s="23" t="str">
        <f t="shared" si="16"/>
        <v>Low Risk</v>
      </c>
      <c r="Y202" t="str">
        <f t="shared" si="17"/>
        <v>Yes</v>
      </c>
      <c r="Z202">
        <f t="shared" si="18"/>
        <v>1</v>
      </c>
      <c r="AA202" s="26" cm="1">
        <f t="array" ref="AA202">IF($Y202&lt;&gt;"Yes",0,INDEX(Merit_Matrix!$B$2:$D$4,MATCH($J202,Merit_Matrix!$A$2:$A$4,0),Z202))</f>
        <v>3.5000000000000003E-2</v>
      </c>
      <c r="AB202" s="41">
        <f t="shared" si="19"/>
        <v>3263.1550000000002</v>
      </c>
      <c r="AC202" s="41">
        <f t="shared" si="20"/>
        <v>96496.154999999999</v>
      </c>
      <c r="AD202" s="26">
        <f t="shared" si="21"/>
        <v>0.69904487829614603</v>
      </c>
      <c r="AE202" t="str">
        <f>IF(Table1[[#This Row],[New_Base_Salary]] &lt; Table1[[#This Row],[Market P25]],"Below Market",
 IF(Table1[[#This Row],[New_Base_Salary]] &gt; Table1[[#This Row],[Market P75]],"Above Market","At Market"))</f>
        <v>Below Market</v>
      </c>
    </row>
  </sheetData>
  <mergeCells count="2">
    <mergeCell ref="N1:S1"/>
    <mergeCell ref="U1:X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86D6-C351-4172-8FE6-797A8F7C3B87}">
  <dimension ref="A1:G11"/>
  <sheetViews>
    <sheetView workbookViewId="0">
      <selection activeCell="E1" sqref="E1:G1"/>
    </sheetView>
  </sheetViews>
  <sheetFormatPr defaultRowHeight="14.4" x14ac:dyDescent="0.3"/>
  <cols>
    <col min="1" max="1" width="21.6640625" customWidth="1"/>
    <col min="3" max="3" width="37.109375" customWidth="1"/>
    <col min="4" max="4" width="10.33203125" customWidth="1"/>
    <col min="5" max="5" width="10.6640625" customWidth="1"/>
    <col min="6" max="6" width="12.6640625" customWidth="1"/>
    <col min="7" max="7" width="11.21875" customWidth="1"/>
  </cols>
  <sheetData>
    <row r="1" spans="1:7" ht="43.2" x14ac:dyDescent="0.3">
      <c r="A1" s="2" t="s">
        <v>43</v>
      </c>
      <c r="B1" s="2" t="s">
        <v>31</v>
      </c>
      <c r="C1" s="2" t="s">
        <v>80</v>
      </c>
      <c r="D1" s="2" t="s">
        <v>106</v>
      </c>
      <c r="E1" s="2" t="s">
        <v>59</v>
      </c>
      <c r="F1" s="2" t="s">
        <v>60</v>
      </c>
      <c r="G1" s="2" t="s">
        <v>61</v>
      </c>
    </row>
    <row r="2" spans="1:7" x14ac:dyDescent="0.3">
      <c r="A2" s="3" t="s">
        <v>29</v>
      </c>
      <c r="B2" s="3">
        <v>2</v>
      </c>
      <c r="C2" s="3" t="s">
        <v>84</v>
      </c>
      <c r="D2" s="3" t="s">
        <v>109</v>
      </c>
      <c r="E2" s="15">
        <v>48890</v>
      </c>
      <c r="F2" s="15">
        <v>62770</v>
      </c>
      <c r="G2" s="15">
        <v>82990</v>
      </c>
    </row>
    <row r="3" spans="1:7" x14ac:dyDescent="0.3">
      <c r="A3" s="3" t="s">
        <v>30</v>
      </c>
      <c r="B3" s="3">
        <v>2</v>
      </c>
      <c r="C3" s="3" t="s">
        <v>91</v>
      </c>
      <c r="D3" s="3" t="s">
        <v>109</v>
      </c>
      <c r="E3" s="15">
        <v>37930</v>
      </c>
      <c r="F3" s="15">
        <v>45470</v>
      </c>
      <c r="G3" s="15">
        <v>54160</v>
      </c>
    </row>
    <row r="4" spans="1:7" x14ac:dyDescent="0.3">
      <c r="A4" s="3" t="s">
        <v>17</v>
      </c>
      <c r="B4" s="3">
        <v>2</v>
      </c>
      <c r="C4" t="s">
        <v>93</v>
      </c>
      <c r="D4" s="3" t="s">
        <v>109</v>
      </c>
      <c r="E4" s="15">
        <v>81130</v>
      </c>
      <c r="F4" s="15">
        <v>103730</v>
      </c>
      <c r="G4" s="15">
        <v>132670</v>
      </c>
    </row>
    <row r="5" spans="1:7" ht="28.8" customHeight="1" x14ac:dyDescent="0.3">
      <c r="A5" s="3" t="s">
        <v>28</v>
      </c>
      <c r="B5" s="3">
        <v>3</v>
      </c>
      <c r="C5" s="3" t="s">
        <v>82</v>
      </c>
      <c r="D5" s="3" t="s">
        <v>109</v>
      </c>
      <c r="E5" s="15">
        <v>50970</v>
      </c>
      <c r="F5" s="15">
        <v>56720</v>
      </c>
      <c r="G5" s="15">
        <v>75360</v>
      </c>
    </row>
    <row r="6" spans="1:7" x14ac:dyDescent="0.3">
      <c r="A6" s="3" t="s">
        <v>25</v>
      </c>
      <c r="B6" s="3">
        <v>3</v>
      </c>
      <c r="C6" t="s">
        <v>95</v>
      </c>
      <c r="D6" s="3" t="s">
        <v>109</v>
      </c>
      <c r="E6" s="15">
        <v>49460</v>
      </c>
      <c r="F6" s="15">
        <v>78370</v>
      </c>
      <c r="G6" s="15">
        <v>104330</v>
      </c>
    </row>
    <row r="7" spans="1:7" x14ac:dyDescent="0.3">
      <c r="A7" s="3" t="s">
        <v>22</v>
      </c>
      <c r="B7" s="3">
        <v>3</v>
      </c>
      <c r="C7" t="s">
        <v>99</v>
      </c>
      <c r="D7" s="3" t="s">
        <v>109</v>
      </c>
      <c r="E7" s="15">
        <v>103040</v>
      </c>
      <c r="F7" s="15">
        <v>133500</v>
      </c>
      <c r="G7" s="15">
        <v>171680</v>
      </c>
    </row>
    <row r="8" spans="1:7" ht="27.6" customHeight="1" x14ac:dyDescent="0.3">
      <c r="A8" s="3" t="s">
        <v>20</v>
      </c>
      <c r="B8" s="3">
        <v>3</v>
      </c>
      <c r="C8" s="3" t="s">
        <v>122</v>
      </c>
      <c r="D8" s="3" t="s">
        <v>109</v>
      </c>
      <c r="E8" s="15">
        <v>52500</v>
      </c>
      <c r="F8" s="15">
        <v>67210</v>
      </c>
      <c r="G8" s="15">
        <v>83970</v>
      </c>
    </row>
    <row r="9" spans="1:7" x14ac:dyDescent="0.3">
      <c r="A9" s="3" t="s">
        <v>23</v>
      </c>
      <c r="B9" s="3">
        <v>4</v>
      </c>
      <c r="C9" s="3" t="s">
        <v>97</v>
      </c>
      <c r="D9" s="3" t="s">
        <v>109</v>
      </c>
      <c r="E9" s="15">
        <v>82620</v>
      </c>
      <c r="F9" s="15">
        <v>110030</v>
      </c>
      <c r="G9" s="15">
        <v>146810</v>
      </c>
    </row>
    <row r="10" spans="1:7" ht="18.600000000000001" customHeight="1" x14ac:dyDescent="0.3">
      <c r="A10" s="3" t="s">
        <v>27</v>
      </c>
      <c r="B10" s="3">
        <v>4</v>
      </c>
      <c r="C10" s="3" t="s">
        <v>101</v>
      </c>
      <c r="D10" s="3" t="s">
        <v>109</v>
      </c>
      <c r="E10" s="15">
        <v>105000</v>
      </c>
      <c r="F10" s="15">
        <v>138040</v>
      </c>
      <c r="G10" s="15">
        <v>179950</v>
      </c>
    </row>
    <row r="11" spans="1:7" ht="21" customHeight="1" x14ac:dyDescent="0.3">
      <c r="A11" s="3" t="s">
        <v>12</v>
      </c>
      <c r="B11" s="3">
        <v>4</v>
      </c>
      <c r="C11" t="s">
        <v>90</v>
      </c>
      <c r="D11" s="3" t="s">
        <v>109</v>
      </c>
      <c r="E11" s="15">
        <v>74720</v>
      </c>
      <c r="F11" s="15">
        <v>106330</v>
      </c>
      <c r="G11" s="15">
        <v>162780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E291-AF78-45DF-867F-AC877C2D9B2C}">
  <dimension ref="A1:AB6"/>
  <sheetViews>
    <sheetView topLeftCell="K1" workbookViewId="0">
      <selection activeCell="Z2" sqref="Z2"/>
    </sheetView>
  </sheetViews>
  <sheetFormatPr defaultRowHeight="14.4" x14ac:dyDescent="0.3"/>
  <cols>
    <col min="1" max="1" width="14.88671875" customWidth="1"/>
    <col min="2" max="2" width="11.21875" customWidth="1"/>
    <col min="4" max="4" width="11.21875" customWidth="1"/>
    <col min="6" max="6" width="13.5546875" customWidth="1"/>
    <col min="7" max="7" width="10.44140625" customWidth="1"/>
    <col min="8" max="8" width="14.6640625" customWidth="1"/>
    <col min="9" max="9" width="10.6640625" customWidth="1"/>
    <col min="11" max="11" width="11.33203125" customWidth="1"/>
    <col min="13" max="13" width="13" customWidth="1"/>
    <col min="14" max="14" width="11.21875" customWidth="1"/>
    <col min="15" max="15" width="14.5546875" customWidth="1"/>
    <col min="16" max="16" width="10.5546875" customWidth="1"/>
    <col min="18" max="18" width="10.77734375" customWidth="1"/>
    <col min="20" max="20" width="13.109375" customWidth="1"/>
    <col min="21" max="21" width="10.5546875" customWidth="1"/>
    <col min="22" max="22" width="15.33203125" customWidth="1"/>
    <col min="23" max="23" width="11.5546875" customWidth="1"/>
    <col min="25" max="25" width="11.109375" customWidth="1"/>
    <col min="27" max="27" width="12.6640625" customWidth="1"/>
    <col min="28" max="28" width="10.21875" customWidth="1"/>
  </cols>
  <sheetData>
    <row r="1" spans="1:28" ht="43.2" x14ac:dyDescent="0.3">
      <c r="A1" s="2" t="s">
        <v>79</v>
      </c>
      <c r="B1" s="2" t="s">
        <v>104</v>
      </c>
      <c r="C1" s="2" t="s">
        <v>31</v>
      </c>
      <c r="D1" s="2" t="s">
        <v>105</v>
      </c>
      <c r="E1" s="2" t="s">
        <v>106</v>
      </c>
      <c r="F1" s="2" t="s">
        <v>107</v>
      </c>
      <c r="G1" s="20" t="s">
        <v>108</v>
      </c>
      <c r="H1" s="2" t="s">
        <v>79</v>
      </c>
      <c r="I1" s="2" t="s">
        <v>104</v>
      </c>
      <c r="J1" s="2" t="s">
        <v>31</v>
      </c>
      <c r="K1" s="2" t="s">
        <v>105</v>
      </c>
      <c r="L1" s="2" t="s">
        <v>106</v>
      </c>
      <c r="M1" s="2" t="s">
        <v>107</v>
      </c>
      <c r="N1" s="20" t="s">
        <v>108</v>
      </c>
      <c r="O1" s="24" t="s">
        <v>79</v>
      </c>
      <c r="P1" s="2" t="s">
        <v>104</v>
      </c>
      <c r="Q1" s="2" t="s">
        <v>31</v>
      </c>
      <c r="R1" s="2" t="s">
        <v>105</v>
      </c>
      <c r="S1" s="2" t="s">
        <v>106</v>
      </c>
      <c r="T1" s="2" t="s">
        <v>107</v>
      </c>
      <c r="U1" s="20" t="s">
        <v>108</v>
      </c>
      <c r="V1" s="2" t="s">
        <v>79</v>
      </c>
      <c r="W1" s="2" t="s">
        <v>104</v>
      </c>
      <c r="X1" s="2" t="s">
        <v>31</v>
      </c>
      <c r="Y1" s="2" t="s">
        <v>105</v>
      </c>
      <c r="Z1" s="2" t="s">
        <v>106</v>
      </c>
      <c r="AA1" s="2" t="s">
        <v>107</v>
      </c>
      <c r="AB1" s="2" t="s">
        <v>108</v>
      </c>
    </row>
    <row r="2" spans="1:28" ht="100.8" x14ac:dyDescent="0.3">
      <c r="A2" s="3" t="s">
        <v>29</v>
      </c>
      <c r="B2" s="3" t="s">
        <v>24</v>
      </c>
      <c r="C2" s="3">
        <v>2</v>
      </c>
      <c r="D2" s="3" t="s">
        <v>84</v>
      </c>
      <c r="E2" s="3" t="s">
        <v>109</v>
      </c>
      <c r="F2" s="3" t="s">
        <v>110</v>
      </c>
      <c r="G2" s="19" t="s">
        <v>111</v>
      </c>
      <c r="H2" s="3" t="s">
        <v>25</v>
      </c>
      <c r="I2" s="3" t="s">
        <v>26</v>
      </c>
      <c r="J2" s="3">
        <v>3</v>
      </c>
      <c r="K2" s="3" t="s">
        <v>95</v>
      </c>
      <c r="L2" s="3" t="s">
        <v>109</v>
      </c>
      <c r="M2" s="3" t="s">
        <v>115</v>
      </c>
      <c r="N2" s="19" t="s">
        <v>111</v>
      </c>
      <c r="O2" s="21" t="s">
        <v>20</v>
      </c>
      <c r="P2" s="3" t="s">
        <v>13</v>
      </c>
      <c r="Q2" s="3">
        <v>3</v>
      </c>
      <c r="R2" s="3" t="s">
        <v>122</v>
      </c>
      <c r="S2" s="3" t="s">
        <v>109</v>
      </c>
      <c r="T2" s="3" t="s">
        <v>118</v>
      </c>
      <c r="U2" s="19" t="s">
        <v>111</v>
      </c>
      <c r="V2" s="3" t="s">
        <v>17</v>
      </c>
      <c r="W2" s="3" t="s">
        <v>18</v>
      </c>
      <c r="X2" s="3">
        <v>2</v>
      </c>
      <c r="Y2" s="3" t="s">
        <v>93</v>
      </c>
      <c r="Z2" s="3" t="s">
        <v>109</v>
      </c>
      <c r="AA2" s="3" t="s">
        <v>120</v>
      </c>
      <c r="AB2" s="3" t="s">
        <v>111</v>
      </c>
    </row>
    <row r="3" spans="1:28" ht="100.8" x14ac:dyDescent="0.3">
      <c r="A3" s="3" t="s">
        <v>30</v>
      </c>
      <c r="B3" s="3" t="s">
        <v>24</v>
      </c>
      <c r="C3" s="3">
        <v>2</v>
      </c>
      <c r="D3" s="3" t="s">
        <v>91</v>
      </c>
      <c r="E3" s="3" t="s">
        <v>109</v>
      </c>
      <c r="F3" s="3" t="s">
        <v>112</v>
      </c>
      <c r="G3" s="19" t="s">
        <v>111</v>
      </c>
      <c r="H3" s="3" t="s">
        <v>27</v>
      </c>
      <c r="I3" s="3" t="s">
        <v>26</v>
      </c>
      <c r="J3" s="3">
        <v>4</v>
      </c>
      <c r="K3" s="3" t="s">
        <v>101</v>
      </c>
      <c r="L3" s="3" t="s">
        <v>109</v>
      </c>
      <c r="M3" s="3" t="s">
        <v>116</v>
      </c>
      <c r="N3" s="19" t="s">
        <v>117</v>
      </c>
      <c r="O3" s="21" t="s">
        <v>12</v>
      </c>
      <c r="P3" s="3" t="s">
        <v>13</v>
      </c>
      <c r="Q3" s="3">
        <v>4</v>
      </c>
      <c r="R3" s="3" t="s">
        <v>90</v>
      </c>
      <c r="S3" s="3" t="s">
        <v>109</v>
      </c>
      <c r="T3" s="3" t="s">
        <v>119</v>
      </c>
      <c r="U3" s="19" t="s">
        <v>111</v>
      </c>
      <c r="V3" s="3" t="s">
        <v>22</v>
      </c>
      <c r="W3" s="3" t="s">
        <v>18</v>
      </c>
      <c r="X3" s="3">
        <v>3</v>
      </c>
      <c r="Y3" s="3" t="s">
        <v>99</v>
      </c>
      <c r="Z3" s="3" t="s">
        <v>109</v>
      </c>
      <c r="AA3" s="3" t="s">
        <v>121</v>
      </c>
      <c r="AB3" s="3" t="s">
        <v>111</v>
      </c>
    </row>
    <row r="4" spans="1:28" ht="72" x14ac:dyDescent="0.3">
      <c r="A4" s="3" t="s">
        <v>28</v>
      </c>
      <c r="B4" s="3" t="s">
        <v>24</v>
      </c>
      <c r="C4" s="3">
        <v>3</v>
      </c>
      <c r="D4" s="3" t="s">
        <v>82</v>
      </c>
      <c r="E4" s="3" t="s">
        <v>109</v>
      </c>
      <c r="F4" s="3" t="s">
        <v>113</v>
      </c>
      <c r="G4" s="19" t="s">
        <v>111</v>
      </c>
      <c r="N4" s="23"/>
      <c r="O4" s="22"/>
      <c r="U4" s="23"/>
    </row>
    <row r="5" spans="1:28" ht="57.6" x14ac:dyDescent="0.3">
      <c r="A5" s="3" t="s">
        <v>23</v>
      </c>
      <c r="B5" s="3" t="s">
        <v>24</v>
      </c>
      <c r="C5" s="3">
        <v>4</v>
      </c>
      <c r="D5" s="3" t="s">
        <v>97</v>
      </c>
      <c r="E5" s="3" t="s">
        <v>109</v>
      </c>
      <c r="F5" s="3" t="s">
        <v>114</v>
      </c>
      <c r="G5" s="19" t="s">
        <v>111</v>
      </c>
      <c r="N5" s="23"/>
      <c r="O5" s="22"/>
      <c r="U5" s="23"/>
    </row>
    <row r="6" spans="1:28" x14ac:dyDescent="0.3">
      <c r="A6" s="3"/>
      <c r="B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CE46-26A7-448B-994E-59E145CDD7ED}">
  <dimension ref="A1:K5"/>
  <sheetViews>
    <sheetView workbookViewId="0">
      <selection activeCell="J3" sqref="J3:J4"/>
    </sheetView>
  </sheetViews>
  <sheetFormatPr defaultRowHeight="14.4" x14ac:dyDescent="0.3"/>
  <cols>
    <col min="2" max="2" width="14.33203125" customWidth="1"/>
    <col min="3" max="3" width="21.77734375" customWidth="1"/>
    <col min="4" max="4" width="17.5546875" customWidth="1"/>
    <col min="5" max="5" width="27.88671875" customWidth="1"/>
    <col min="6" max="6" width="20.33203125" customWidth="1"/>
    <col min="7" max="7" width="21.44140625" customWidth="1"/>
    <col min="8" max="8" width="19.5546875" customWidth="1"/>
    <col min="9" max="9" width="19.77734375" customWidth="1"/>
    <col min="10" max="10" width="11.88671875" customWidth="1"/>
    <col min="11" max="11" width="22.109375" customWidth="1"/>
    <col min="12" max="12" width="8.33203125" customWidth="1"/>
  </cols>
  <sheetData>
    <row r="1" spans="1:11" ht="18" x14ac:dyDescent="0.3">
      <c r="D1" s="31" t="s">
        <v>42</v>
      </c>
      <c r="E1" s="32"/>
      <c r="F1" s="33" t="s">
        <v>47</v>
      </c>
      <c r="G1" s="34"/>
      <c r="H1" s="35" t="s">
        <v>52</v>
      </c>
      <c r="I1" s="36"/>
      <c r="J1" s="37" t="s">
        <v>55</v>
      </c>
      <c r="K1" s="38"/>
    </row>
    <row r="2" spans="1:11" ht="28.8" x14ac:dyDescent="0.3">
      <c r="A2" s="2" t="s">
        <v>31</v>
      </c>
      <c r="B2" s="2" t="s">
        <v>32</v>
      </c>
      <c r="C2" s="2" t="s">
        <v>33</v>
      </c>
      <c r="D2" s="5" t="s">
        <v>43</v>
      </c>
      <c r="E2" s="6" t="s">
        <v>44</v>
      </c>
      <c r="F2" s="5" t="s">
        <v>43</v>
      </c>
      <c r="G2" s="6" t="s">
        <v>44</v>
      </c>
      <c r="H2" s="5" t="s">
        <v>43</v>
      </c>
      <c r="I2" s="6" t="s">
        <v>44</v>
      </c>
      <c r="J2" s="5" t="s">
        <v>43</v>
      </c>
      <c r="K2" s="6" t="s">
        <v>44</v>
      </c>
    </row>
    <row r="3" spans="1:11" ht="86.4" customHeight="1" x14ac:dyDescent="0.3">
      <c r="A3" s="4" t="s">
        <v>34</v>
      </c>
      <c r="B3" s="3" t="s">
        <v>35</v>
      </c>
      <c r="C3" s="3" t="s">
        <v>36</v>
      </c>
      <c r="D3" s="7" t="s">
        <v>50</v>
      </c>
      <c r="E3" s="8" t="s">
        <v>51</v>
      </c>
      <c r="F3" s="11"/>
      <c r="G3" s="12"/>
      <c r="H3" s="11"/>
      <c r="I3" s="12"/>
      <c r="J3" s="7" t="s">
        <v>17</v>
      </c>
      <c r="K3" s="8" t="s">
        <v>58</v>
      </c>
    </row>
    <row r="4" spans="1:11" ht="122.4" customHeight="1" x14ac:dyDescent="0.3">
      <c r="A4" s="4" t="s">
        <v>37</v>
      </c>
      <c r="B4" s="3" t="s">
        <v>38</v>
      </c>
      <c r="C4" s="3" t="s">
        <v>57</v>
      </c>
      <c r="D4" s="7" t="s">
        <v>28</v>
      </c>
      <c r="E4" s="8" t="s">
        <v>45</v>
      </c>
      <c r="F4" s="7" t="s">
        <v>25</v>
      </c>
      <c r="G4" s="8" t="s">
        <v>48</v>
      </c>
      <c r="H4" s="7" t="s">
        <v>20</v>
      </c>
      <c r="I4" s="8" t="s">
        <v>53</v>
      </c>
      <c r="J4" s="7" t="s">
        <v>22</v>
      </c>
      <c r="K4" s="8" t="s">
        <v>56</v>
      </c>
    </row>
    <row r="5" spans="1:11" ht="71.400000000000006" customHeight="1" thickBot="1" x14ac:dyDescent="0.35">
      <c r="A5" s="4" t="s">
        <v>39</v>
      </c>
      <c r="B5" s="3" t="s">
        <v>40</v>
      </c>
      <c r="C5" s="3" t="s">
        <v>41</v>
      </c>
      <c r="D5" s="9" t="s">
        <v>23</v>
      </c>
      <c r="E5" s="10" t="s">
        <v>46</v>
      </c>
      <c r="F5" s="9" t="s">
        <v>27</v>
      </c>
      <c r="G5" s="10" t="s">
        <v>49</v>
      </c>
      <c r="H5" s="9" t="s">
        <v>12</v>
      </c>
      <c r="I5" s="10" t="s">
        <v>54</v>
      </c>
      <c r="J5" s="13"/>
      <c r="K5" s="14"/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C2F2-1CD1-41D7-9965-7329CFBC88C4}">
  <dimension ref="A1:I12"/>
  <sheetViews>
    <sheetView topLeftCell="A7" workbookViewId="0">
      <selection activeCell="F9" sqref="F9"/>
    </sheetView>
  </sheetViews>
  <sheetFormatPr defaultRowHeight="14.4" x14ac:dyDescent="0.3"/>
  <cols>
    <col min="1" max="1" width="11.109375" customWidth="1"/>
    <col min="2" max="2" width="11.33203125" customWidth="1"/>
    <col min="3" max="3" width="23" customWidth="1"/>
    <col min="4" max="4" width="37.21875" customWidth="1"/>
    <col min="5" max="5" width="19.5546875" customWidth="1"/>
    <col min="6" max="6" width="26.6640625" customWidth="1"/>
    <col min="7" max="7" width="33.88671875" customWidth="1"/>
    <col min="8" max="8" width="10.77734375" customWidth="1"/>
  </cols>
  <sheetData>
    <row r="1" spans="1:9" x14ac:dyDescent="0.3">
      <c r="A1" s="29" t="s">
        <v>78</v>
      </c>
      <c r="B1" s="29"/>
      <c r="C1" s="29" t="s">
        <v>77</v>
      </c>
      <c r="D1" s="29"/>
      <c r="E1" s="29" t="s">
        <v>87</v>
      </c>
      <c r="F1" s="29"/>
      <c r="G1" s="29"/>
      <c r="H1" s="29" t="s">
        <v>103</v>
      </c>
      <c r="I1" s="29"/>
    </row>
    <row r="2" spans="1:9" ht="28.8" x14ac:dyDescent="0.3">
      <c r="A2" s="2" t="s">
        <v>62</v>
      </c>
      <c r="B2" s="2" t="s">
        <v>63</v>
      </c>
      <c r="C2" s="16" t="s">
        <v>69</v>
      </c>
      <c r="D2" s="16" t="s">
        <v>70</v>
      </c>
      <c r="E2" s="16" t="s">
        <v>79</v>
      </c>
      <c r="F2" s="16" t="s">
        <v>80</v>
      </c>
      <c r="G2" s="16" t="s">
        <v>81</v>
      </c>
      <c r="H2" s="16" t="s">
        <v>67</v>
      </c>
      <c r="I2" s="16" t="s">
        <v>63</v>
      </c>
    </row>
    <row r="3" spans="1:9" ht="43.2" customHeight="1" x14ac:dyDescent="0.3">
      <c r="A3" s="3" t="s">
        <v>64</v>
      </c>
      <c r="B3" s="3" t="s">
        <v>59</v>
      </c>
      <c r="C3" t="s">
        <v>71</v>
      </c>
      <c r="D3" s="18" t="s">
        <v>72</v>
      </c>
      <c r="E3" t="s">
        <v>28</v>
      </c>
      <c r="F3" s="18" t="s">
        <v>82</v>
      </c>
      <c r="G3" s="18" t="s">
        <v>83</v>
      </c>
      <c r="H3" t="s">
        <v>68</v>
      </c>
      <c r="I3" t="s">
        <v>102</v>
      </c>
    </row>
    <row r="4" spans="1:9" ht="28.8" x14ac:dyDescent="0.3">
      <c r="A4" s="3" t="s">
        <v>65</v>
      </c>
      <c r="B4" s="3" t="s">
        <v>60</v>
      </c>
      <c r="C4" t="s">
        <v>73</v>
      </c>
      <c r="D4" s="18" t="s">
        <v>74</v>
      </c>
      <c r="E4" t="s">
        <v>29</v>
      </c>
      <c r="F4" s="18" t="s">
        <v>84</v>
      </c>
      <c r="G4" s="18" t="s">
        <v>85</v>
      </c>
    </row>
    <row r="5" spans="1:9" ht="43.2" x14ac:dyDescent="0.3">
      <c r="A5" s="3" t="s">
        <v>66</v>
      </c>
      <c r="B5" s="3" t="s">
        <v>61</v>
      </c>
      <c r="C5" t="s">
        <v>75</v>
      </c>
      <c r="D5" s="18" t="s">
        <v>76</v>
      </c>
      <c r="E5" t="s">
        <v>20</v>
      </c>
      <c r="F5" s="18" t="s">
        <v>122</v>
      </c>
      <c r="G5" s="18" t="s">
        <v>86</v>
      </c>
    </row>
    <row r="6" spans="1:9" ht="86.4" x14ac:dyDescent="0.3">
      <c r="E6" t="s">
        <v>30</v>
      </c>
      <c r="F6" t="s">
        <v>91</v>
      </c>
      <c r="G6" s="18" t="s">
        <v>92</v>
      </c>
    </row>
    <row r="7" spans="1:9" ht="57.6" x14ac:dyDescent="0.3">
      <c r="E7" t="s">
        <v>17</v>
      </c>
      <c r="F7" t="s">
        <v>93</v>
      </c>
      <c r="G7" s="18" t="s">
        <v>94</v>
      </c>
    </row>
    <row r="8" spans="1:9" ht="28.8" x14ac:dyDescent="0.3">
      <c r="E8" t="s">
        <v>25</v>
      </c>
      <c r="F8" t="s">
        <v>95</v>
      </c>
      <c r="G8" s="18" t="s">
        <v>96</v>
      </c>
    </row>
    <row r="9" spans="1:9" ht="57.6" x14ac:dyDescent="0.3">
      <c r="E9" t="s">
        <v>22</v>
      </c>
      <c r="F9" t="s">
        <v>99</v>
      </c>
      <c r="G9" s="18" t="s">
        <v>98</v>
      </c>
    </row>
    <row r="10" spans="1:9" ht="28.8" x14ac:dyDescent="0.3">
      <c r="E10" t="s">
        <v>23</v>
      </c>
      <c r="F10" t="s">
        <v>97</v>
      </c>
      <c r="G10" s="18" t="s">
        <v>88</v>
      </c>
    </row>
    <row r="11" spans="1:9" ht="100.8" x14ac:dyDescent="0.3">
      <c r="E11" t="s">
        <v>27</v>
      </c>
      <c r="F11" t="s">
        <v>101</v>
      </c>
      <c r="G11" s="18" t="s">
        <v>100</v>
      </c>
    </row>
    <row r="12" spans="1:9" ht="43.2" x14ac:dyDescent="0.3">
      <c r="E12" t="s">
        <v>12</v>
      </c>
      <c r="F12" t="s">
        <v>90</v>
      </c>
      <c r="G12" s="18" t="s">
        <v>89</v>
      </c>
    </row>
  </sheetData>
  <mergeCells count="4">
    <mergeCell ref="C1:D1"/>
    <mergeCell ref="A1:B1"/>
    <mergeCell ref="E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03D2-6EC9-4F94-A04C-39CFCB14C55A}">
  <dimension ref="A1:D4"/>
  <sheetViews>
    <sheetView workbookViewId="0">
      <selection activeCell="B12" sqref="B12"/>
    </sheetView>
  </sheetViews>
  <sheetFormatPr defaultRowHeight="14.4" x14ac:dyDescent="0.3"/>
  <cols>
    <col min="1" max="1" width="12.88671875" customWidth="1"/>
  </cols>
  <sheetData>
    <row r="1" spans="1:4" ht="43.2" x14ac:dyDescent="0.3">
      <c r="A1" s="2" t="s">
        <v>139</v>
      </c>
      <c r="B1" s="2" t="s">
        <v>133</v>
      </c>
      <c r="C1" s="2" t="s">
        <v>132</v>
      </c>
      <c r="D1" s="2" t="s">
        <v>134</v>
      </c>
    </row>
    <row r="2" spans="1:4" x14ac:dyDescent="0.3">
      <c r="A2" s="3">
        <v>5</v>
      </c>
      <c r="B2" s="28">
        <v>0.06</v>
      </c>
      <c r="C2" s="28">
        <v>0.05</v>
      </c>
      <c r="D2" s="28">
        <v>0.04</v>
      </c>
    </row>
    <row r="3" spans="1:4" x14ac:dyDescent="0.3">
      <c r="A3" s="3">
        <v>4</v>
      </c>
      <c r="B3" s="28">
        <v>0.05</v>
      </c>
      <c r="C3" s="28">
        <v>0.04</v>
      </c>
      <c r="D3" s="28">
        <v>0.03</v>
      </c>
    </row>
    <row r="4" spans="1:4" x14ac:dyDescent="0.3">
      <c r="A4" s="3">
        <v>3</v>
      </c>
      <c r="B4" s="28">
        <v>3.5000000000000003E-2</v>
      </c>
      <c r="C4" s="28">
        <v>0.03</v>
      </c>
      <c r="D4" s="2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Merit_Impact_Summary</vt:lpstr>
      <vt:lpstr>Merit_Budget_Summary</vt:lpstr>
      <vt:lpstr>Pay_Equity_Summary</vt:lpstr>
      <vt:lpstr>Employee_Compensation_Analysis</vt:lpstr>
      <vt:lpstr>Market_Salary_Benchmarks</vt:lpstr>
      <vt:lpstr>Job_Matching</vt:lpstr>
      <vt:lpstr>JobArchitecture_LevelingRation</vt:lpstr>
      <vt:lpstr>Market_Data_Methodology</vt:lpstr>
      <vt:lpstr>Merit_Matrix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Jenkins</dc:creator>
  <cp:lastModifiedBy>Bianca Jenkins (S)</cp:lastModifiedBy>
  <dcterms:created xsi:type="dcterms:W3CDTF">2026-01-30T20:46:29Z</dcterms:created>
  <dcterms:modified xsi:type="dcterms:W3CDTF">2026-02-18T18:09:01Z</dcterms:modified>
</cp:coreProperties>
</file>